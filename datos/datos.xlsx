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1631" documentId="11_C041F9101BC2DDB4718B77E24241E192FDC25E55" xr6:coauthVersionLast="47" xr6:coauthVersionMax="47" xr10:uidLastSave="{90C8270D-E664-42BA-8055-3A5B97CB61F1}"/>
  <bookViews>
    <workbookView xWindow="240" yWindow="105" windowWidth="14805" windowHeight="8010" firstSheet="5" activeTab="14" xr2:uid="{00000000-000D-0000-FFFF-FFFF00000000}"/>
  </bookViews>
  <sheets>
    <sheet name="inventario_inicial" sheetId="1" r:id="rId1"/>
    <sheet name="precio_compra" sheetId="2" r:id="rId2"/>
    <sheet name="capacidad_máxima" sheetId="3" r:id="rId3"/>
    <sheet name="costo_operacional" sheetId="4" r:id="rId4"/>
    <sheet name="costo_transporte" sheetId="5" r:id="rId5"/>
    <sheet name="capacidad_máxima_acopio" sheetId="6" r:id="rId6"/>
    <sheet name="Cantidad_de_trabajadores_disp" sheetId="7" r:id="rId7"/>
    <sheet name="Trabajadores_para_op_una_chipea" sheetId="8" r:id="rId8"/>
    <sheet name="Sueldo_mensual_de_un_trabajador" sheetId="9" r:id="rId9"/>
    <sheet name="Costo_de_contratar_un_trabajado" sheetId="10" r:id="rId10"/>
    <sheet name="Costo_de_reparación_una_chip" sheetId="11" r:id="rId11"/>
    <sheet name="Prob_falla_Chipeadora" sheetId="12" r:id="rId12"/>
    <sheet name="Costo_de_desvincular_trabajador" sheetId="16" r:id="rId13"/>
    <sheet name="Biomasa_final_horizonte" sheetId="18" r:id="rId14"/>
    <sheet name="Penalizacion_biomasa_residual" sheetId="17" r:id="rId15"/>
    <sheet name="Biomasa_residual_mesG" sheetId="14" r:id="rId16"/>
    <sheet name="Biomasa_residual_inicial" sheetId="15" r:id="rId17"/>
    <sheet name="Detalles conjuntos" sheetId="19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2" i="6"/>
  <c r="D2" i="7"/>
  <c r="C3" i="7"/>
  <c r="C4" i="7"/>
  <c r="C2" i="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2" i="17"/>
  <c r="E3" i="12"/>
  <c r="E4" i="12"/>
  <c r="E5" i="12"/>
  <c r="E9" i="12"/>
  <c r="E10" i="12"/>
  <c r="E11" i="12"/>
  <c r="E12" i="12"/>
  <c r="E13" i="12"/>
  <c r="E17" i="12"/>
  <c r="E18" i="12"/>
  <c r="E19" i="12"/>
  <c r="E20" i="12"/>
  <c r="E21" i="12"/>
  <c r="E22" i="12"/>
  <c r="E25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" i="12"/>
</calcChain>
</file>

<file path=xl/sharedStrings.xml><?xml version="1.0" encoding="utf-8"?>
<sst xmlns="http://schemas.openxmlformats.org/spreadsheetml/2006/main" count="99" uniqueCount="71">
  <si>
    <t>tipo de chipeadora</t>
  </si>
  <si>
    <t>cantidad (unidades)</t>
  </si>
  <si>
    <t>precio(CLP con IVA)</t>
  </si>
  <si>
    <t>capacidad máxima(kg/mes)</t>
  </si>
  <si>
    <t>tipo chipeadora</t>
  </si>
  <si>
    <t xml:space="preserve">mes t </t>
  </si>
  <si>
    <t>costo operacional(CLP)</t>
  </si>
  <si>
    <t xml:space="preserve">region </t>
  </si>
  <si>
    <t>mes t</t>
  </si>
  <si>
    <t>costo transporte(CLP/kg)</t>
  </si>
  <si>
    <t>Zona</t>
  </si>
  <si>
    <t>Mes</t>
  </si>
  <si>
    <t>Capacidad máxima de acopio en kg</t>
  </si>
  <si>
    <t>Cantidad de trabajadores inicialmente en la zona i (unidades)</t>
  </si>
  <si>
    <t>Cantidad de trabajadores (un)</t>
  </si>
  <si>
    <t>Sueldo en CLP</t>
  </si>
  <si>
    <t>Costo en CLP</t>
  </si>
  <si>
    <t>Tipo de chipeadora</t>
  </si>
  <si>
    <t>Falla</t>
  </si>
  <si>
    <t>Costo de reparación en CLP</t>
  </si>
  <si>
    <t>Probabilidad de falla (%)</t>
  </si>
  <si>
    <t>Costo de desvincular en CLP</t>
  </si>
  <si>
    <t>Zona i</t>
  </si>
  <si>
    <t>L_i en kg</t>
  </si>
  <si>
    <t>Residuo j</t>
  </si>
  <si>
    <t>Penalización base h_j</t>
  </si>
  <si>
    <t>Riesgo segun zona i</t>
  </si>
  <si>
    <t>h_ij ($*kg)</t>
  </si>
  <si>
    <t>10 </t>
  </si>
  <si>
    <t>6 </t>
  </si>
  <si>
    <t>2 </t>
  </si>
  <si>
    <t>tipo de biomasa</t>
  </si>
  <si>
    <t>Biomasa residual mensual (kg)</t>
  </si>
  <si>
    <t>Tipo de biomasa</t>
  </si>
  <si>
    <t>Biomasa residual inicial (en kg)</t>
  </si>
  <si>
    <t>Conjunto k: tipos de chipeadoras</t>
  </si>
  <si>
    <t>Conjunto t: meses</t>
  </si>
  <si>
    <t>Conjunto i: zonas forestales</t>
  </si>
  <si>
    <t>Conjunto j: tipos de biomasas</t>
  </si>
  <si>
    <t>Conjunto f: tipos de fallas</t>
  </si>
  <si>
    <t>Semi profesional</t>
  </si>
  <si>
    <t>mayo</t>
  </si>
  <si>
    <t>Región del Maule</t>
  </si>
  <si>
    <t>ramas pequeñas</t>
  </si>
  <si>
    <t>Problemas de lubricación</t>
  </si>
  <si>
    <t>Profesional</t>
  </si>
  <si>
    <t>junio</t>
  </si>
  <si>
    <t>Región del Biobío</t>
  </si>
  <si>
    <t>ramas medianas</t>
  </si>
  <si>
    <t>Cambio de cuchillas (rotura)</t>
  </si>
  <si>
    <t>Industrial</t>
  </si>
  <si>
    <t>julio</t>
  </si>
  <si>
    <t>Región de la Araucanía</t>
  </si>
  <si>
    <t>ramas grandes y troncos</t>
  </si>
  <si>
    <t>Cambio de correas (desgaste)</t>
  </si>
  <si>
    <t>agosto</t>
  </si>
  <si>
    <t>residuos de madera</t>
  </si>
  <si>
    <t>Rodamientos dañados o defectuosos</t>
  </si>
  <si>
    <t>septiembre</t>
  </si>
  <si>
    <t>hojas secas</t>
  </si>
  <si>
    <t>Atascamiento de rotor o disco</t>
  </si>
  <si>
    <t>octubre</t>
  </si>
  <si>
    <t>Cuchillas desafiladas</t>
  </si>
  <si>
    <t>noviembre</t>
  </si>
  <si>
    <t>Atascamiento de material</t>
  </si>
  <si>
    <t>diciembre</t>
  </si>
  <si>
    <t>Sobrecalentamiento del motor</t>
  </si>
  <si>
    <t>enero</t>
  </si>
  <si>
    <t>febrero</t>
  </si>
  <si>
    <t>marzo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</si>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</sst>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1F1F1F"/>
      <name val="Google Sans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readingOrder="1"/>
    </xf>
    <xf numFmtId="0" fontId="1" fillId="0" borderId="0" xfId="0" applyFont="1"/>
    <xf numFmtId="0" fontId="2" fillId="0" borderId="0" xfId="0" applyFont="1" applyAlignment="1">
      <alignment readingOrder="1"/>
    </xf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readingOrder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5"/>
  <sheetViews>
    <sheetView topLeftCell="B1" workbookViewId="0">
      <selection activeCell="B2" sqref="B2"/>
    </sheetView>
  </sheetViews>
  <sheetFormatPr defaultRowHeight="15"/>
  <cols>
    <col min="1" max="1" width="17.7109375" bestFit="1" customWidth="1"/>
  </cols>
  <sheetData>
    <row r="1" spans="1:2">
      <c r="A1" s="1" t="s">
        <v>0</v>
      </c>
      <c r="B1" t="s">
        <v>1</v>
      </c>
    </row>
    <row r="2" spans="1:2">
      <c r="A2" s="1">
        <v>1</v>
      </c>
      <c r="B2">
        <v>3</v>
      </c>
    </row>
    <row r="3" spans="1:2">
      <c r="A3" s="1">
        <v>2</v>
      </c>
      <c r="B3">
        <v>2</v>
      </c>
    </row>
    <row r="4" spans="1:2">
      <c r="A4" s="1">
        <v>3</v>
      </c>
      <c r="B4">
        <v>1</v>
      </c>
    </row>
    <row r="5" spans="1:2">
      <c r="A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CC03-3840-45CC-A8F5-E4543203D5CF}">
  <sheetPr>
    <tabColor theme="9" tint="0.39997558519241921"/>
  </sheetPr>
  <dimension ref="A1:B4"/>
  <sheetViews>
    <sheetView workbookViewId="0">
      <selection activeCell="C8" sqref="C8"/>
    </sheetView>
  </sheetViews>
  <sheetFormatPr defaultRowHeight="15"/>
  <cols>
    <col min="1" max="1" width="18.85546875" bestFit="1" customWidth="1"/>
    <col min="2" max="2" width="18.42578125" bestFit="1" customWidth="1"/>
  </cols>
  <sheetData>
    <row r="1" spans="1:2">
      <c r="A1" s="1" t="s">
        <v>0</v>
      </c>
      <c r="B1" t="s">
        <v>2</v>
      </c>
    </row>
    <row r="2" spans="1:2">
      <c r="A2">
        <v>1</v>
      </c>
      <c r="B2">
        <v>1588470</v>
      </c>
    </row>
    <row r="3" spans="1:2">
      <c r="A3">
        <v>2</v>
      </c>
      <c r="B3">
        <v>6726613</v>
      </c>
    </row>
    <row r="4" spans="1:2">
      <c r="A4">
        <v>3</v>
      </c>
      <c r="B4">
        <v>46408810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3807-999B-4BE6-B950-A48CBC250CBF}">
  <sheetPr>
    <tabColor theme="9" tint="0.39997558519241921"/>
  </sheetPr>
  <dimension ref="A1:B4"/>
  <sheetViews>
    <sheetView workbookViewId="0">
      <selection activeCell="E6" sqref="E6"/>
    </sheetView>
  </sheetViews>
  <sheetFormatPr defaultRowHeight="15"/>
  <cols>
    <col min="1" max="1" width="24.5703125" bestFit="1" customWidth="1"/>
  </cols>
  <sheetData>
    <row r="1" spans="1:2">
      <c r="A1" s="1" t="s">
        <v>0</v>
      </c>
      <c r="B1" t="s">
        <v>3</v>
      </c>
    </row>
    <row r="2" spans="1:2">
      <c r="A2">
        <v>1</v>
      </c>
      <c r="B2">
        <v>252000</v>
      </c>
    </row>
    <row r="3" spans="1:2">
      <c r="A3">
        <v>2</v>
      </c>
      <c r="B3">
        <v>378000</v>
      </c>
    </row>
    <row r="4" spans="1:2">
      <c r="A4">
        <v>3</v>
      </c>
      <c r="B4">
        <v>681000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5BA5-EB61-4822-B397-9B0D2D43441E}">
  <sheetPr>
    <tabColor theme="9" tint="0.39997558519241921"/>
  </sheetPr>
  <dimension ref="A1:C37"/>
  <sheetViews>
    <sheetView workbookViewId="0">
      <selection activeCell="I35" sqref="I35"/>
    </sheetView>
  </sheetViews>
  <sheetFormatPr defaultRowHeight="15"/>
  <cols>
    <col min="1" max="1" width="16" bestFit="1" customWidth="1"/>
    <col min="2" max="2" width="11.5703125" bestFit="1" customWidth="1"/>
  </cols>
  <sheetData>
    <row r="1" spans="1:3">
      <c r="A1" s="1" t="s">
        <v>4</v>
      </c>
      <c r="B1" t="s">
        <v>5</v>
      </c>
      <c r="C1" t="s">
        <v>6</v>
      </c>
    </row>
    <row r="2" spans="1:3">
      <c r="A2">
        <v>1</v>
      </c>
      <c r="B2">
        <v>1</v>
      </c>
      <c r="C2">
        <v>342000</v>
      </c>
    </row>
    <row r="3" spans="1:3">
      <c r="A3">
        <v>1</v>
      </c>
      <c r="B3">
        <v>2</v>
      </c>
      <c r="C3">
        <v>343710</v>
      </c>
    </row>
    <row r="4" spans="1:3">
      <c r="A4">
        <v>1</v>
      </c>
      <c r="B4">
        <v>3</v>
      </c>
      <c r="C4">
        <v>345429</v>
      </c>
    </row>
    <row r="5" spans="1:3">
      <c r="A5">
        <v>1</v>
      </c>
      <c r="B5">
        <v>4</v>
      </c>
      <c r="C5">
        <v>347156</v>
      </c>
    </row>
    <row r="6" spans="1:3">
      <c r="A6">
        <v>1</v>
      </c>
      <c r="B6">
        <v>5</v>
      </c>
      <c r="C6">
        <v>348892</v>
      </c>
    </row>
    <row r="7" spans="1:3">
      <c r="A7">
        <v>1</v>
      </c>
      <c r="B7">
        <v>6</v>
      </c>
      <c r="C7">
        <v>350636</v>
      </c>
    </row>
    <row r="8" spans="1:3">
      <c r="A8">
        <v>1</v>
      </c>
      <c r="B8">
        <v>7</v>
      </c>
      <c r="C8">
        <v>352389</v>
      </c>
    </row>
    <row r="9" spans="1:3">
      <c r="A9">
        <v>1</v>
      </c>
      <c r="B9">
        <v>8</v>
      </c>
      <c r="C9">
        <v>354151</v>
      </c>
    </row>
    <row r="10" spans="1:3">
      <c r="A10">
        <v>1</v>
      </c>
      <c r="B10">
        <v>9</v>
      </c>
      <c r="C10">
        <v>355922</v>
      </c>
    </row>
    <row r="11" spans="1:3">
      <c r="A11">
        <v>1</v>
      </c>
      <c r="B11">
        <v>10</v>
      </c>
      <c r="C11">
        <v>357702</v>
      </c>
    </row>
    <row r="12" spans="1:3">
      <c r="A12">
        <v>1</v>
      </c>
      <c r="B12">
        <v>11</v>
      </c>
      <c r="C12">
        <v>359490</v>
      </c>
    </row>
    <row r="13" spans="1:3">
      <c r="A13">
        <v>1</v>
      </c>
      <c r="B13">
        <v>12</v>
      </c>
      <c r="C13">
        <v>361288</v>
      </c>
    </row>
    <row r="14" spans="1:3">
      <c r="A14">
        <v>2</v>
      </c>
      <c r="B14">
        <v>1</v>
      </c>
      <c r="C14">
        <v>549000</v>
      </c>
    </row>
    <row r="15" spans="1:3">
      <c r="A15">
        <v>2</v>
      </c>
      <c r="B15">
        <v>2</v>
      </c>
      <c r="C15">
        <v>551745</v>
      </c>
    </row>
    <row r="16" spans="1:3">
      <c r="A16">
        <v>2</v>
      </c>
      <c r="B16">
        <v>3</v>
      </c>
      <c r="C16">
        <v>554504</v>
      </c>
    </row>
    <row r="17" spans="1:3">
      <c r="A17">
        <v>2</v>
      </c>
      <c r="B17">
        <v>4</v>
      </c>
      <c r="C17">
        <v>557277</v>
      </c>
    </row>
    <row r="18" spans="1:3">
      <c r="A18">
        <v>2</v>
      </c>
      <c r="B18">
        <v>5</v>
      </c>
      <c r="C18">
        <v>560063</v>
      </c>
    </row>
    <row r="19" spans="1:3">
      <c r="A19">
        <v>2</v>
      </c>
      <c r="B19">
        <v>6</v>
      </c>
      <c r="C19">
        <v>562863</v>
      </c>
    </row>
    <row r="20" spans="1:3">
      <c r="A20">
        <v>2</v>
      </c>
      <c r="B20">
        <v>7</v>
      </c>
      <c r="C20">
        <v>565678</v>
      </c>
    </row>
    <row r="21" spans="1:3">
      <c r="A21">
        <v>2</v>
      </c>
      <c r="B21">
        <v>8</v>
      </c>
      <c r="C21">
        <v>568506</v>
      </c>
    </row>
    <row r="22" spans="1:3">
      <c r="A22">
        <v>2</v>
      </c>
      <c r="B22">
        <v>9</v>
      </c>
      <c r="C22">
        <v>571349</v>
      </c>
    </row>
    <row r="23" spans="1:3">
      <c r="A23">
        <v>2</v>
      </c>
      <c r="B23">
        <v>10</v>
      </c>
      <c r="C23">
        <v>574206</v>
      </c>
    </row>
    <row r="24" spans="1:3">
      <c r="A24">
        <v>2</v>
      </c>
      <c r="B24">
        <v>11</v>
      </c>
      <c r="C24">
        <v>577077</v>
      </c>
    </row>
    <row r="25" spans="1:3">
      <c r="A25">
        <v>2</v>
      </c>
      <c r="B25">
        <v>12</v>
      </c>
      <c r="C25">
        <v>579962</v>
      </c>
    </row>
    <row r="26" spans="1:3">
      <c r="A26">
        <v>3</v>
      </c>
      <c r="B26">
        <v>1</v>
      </c>
      <c r="C26">
        <v>1495000</v>
      </c>
    </row>
    <row r="27" spans="1:3">
      <c r="A27">
        <v>3</v>
      </c>
      <c r="B27">
        <v>2</v>
      </c>
      <c r="C27">
        <v>1502475</v>
      </c>
    </row>
    <row r="28" spans="1:3">
      <c r="A28">
        <v>3</v>
      </c>
      <c r="B28">
        <v>3</v>
      </c>
      <c r="C28">
        <v>1509987</v>
      </c>
    </row>
    <row r="29" spans="1:3">
      <c r="A29">
        <v>3</v>
      </c>
      <c r="B29">
        <v>4</v>
      </c>
      <c r="C29">
        <v>1517537</v>
      </c>
    </row>
    <row r="30" spans="1:3">
      <c r="A30">
        <v>3</v>
      </c>
      <c r="B30">
        <v>5</v>
      </c>
      <c r="C30">
        <v>1525124</v>
      </c>
    </row>
    <row r="31" spans="1:3">
      <c r="A31">
        <v>3</v>
      </c>
      <c r="B31">
        <v>6</v>
      </c>
      <c r="C31">
        <v>1532750</v>
      </c>
    </row>
    <row r="32" spans="1:3">
      <c r="A32">
        <v>3</v>
      </c>
      <c r="B32">
        <v>7</v>
      </c>
      <c r="C32">
        <v>1540414</v>
      </c>
    </row>
    <row r="33" spans="1:3">
      <c r="A33">
        <v>3</v>
      </c>
      <c r="B33">
        <v>8</v>
      </c>
      <c r="C33">
        <v>1548116</v>
      </c>
    </row>
    <row r="34" spans="1:3">
      <c r="A34">
        <v>3</v>
      </c>
      <c r="B34">
        <v>9</v>
      </c>
      <c r="C34">
        <v>1555857</v>
      </c>
    </row>
    <row r="35" spans="1:3">
      <c r="A35">
        <v>3</v>
      </c>
      <c r="B35">
        <v>10</v>
      </c>
      <c r="C35">
        <v>1563636</v>
      </c>
    </row>
    <row r="36" spans="1:3">
      <c r="A36">
        <v>3</v>
      </c>
      <c r="B36">
        <v>11</v>
      </c>
      <c r="C36">
        <v>1571454</v>
      </c>
    </row>
    <row r="37" spans="1:3">
      <c r="A37">
        <v>3</v>
      </c>
      <c r="B37">
        <v>12</v>
      </c>
      <c r="C37">
        <v>1579311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FF31-CDD9-445A-B36B-1FA82FEF5994}">
  <sheetPr>
    <tabColor theme="9" tint="0.39997558519241921"/>
  </sheetPr>
  <dimension ref="A1:C37"/>
  <sheetViews>
    <sheetView workbookViewId="0">
      <selection activeCell="G7" sqref="G7"/>
    </sheetView>
  </sheetViews>
  <sheetFormatPr defaultRowHeight="15"/>
  <sheetData>
    <row r="1" spans="1:3">
      <c r="A1" t="s">
        <v>7</v>
      </c>
      <c r="B1" t="s">
        <v>8</v>
      </c>
      <c r="C1" t="s">
        <v>9</v>
      </c>
    </row>
    <row r="2" spans="1:3">
      <c r="A2">
        <v>1</v>
      </c>
      <c r="B2">
        <v>1</v>
      </c>
      <c r="C2">
        <v>3.3</v>
      </c>
    </row>
    <row r="3" spans="1:3">
      <c r="A3">
        <v>1</v>
      </c>
      <c r="B3">
        <v>2</v>
      </c>
      <c r="C3">
        <v>3.32</v>
      </c>
    </row>
    <row r="4" spans="1:3">
      <c r="A4">
        <v>1</v>
      </c>
      <c r="B4">
        <v>3</v>
      </c>
      <c r="C4">
        <v>3.33</v>
      </c>
    </row>
    <row r="5" spans="1:3">
      <c r="A5">
        <v>1</v>
      </c>
      <c r="B5">
        <v>4</v>
      </c>
      <c r="C5">
        <v>3.35</v>
      </c>
    </row>
    <row r="6" spans="1:3">
      <c r="A6">
        <v>1</v>
      </c>
      <c r="B6">
        <v>5</v>
      </c>
      <c r="C6">
        <v>3.36</v>
      </c>
    </row>
    <row r="7" spans="1:3">
      <c r="A7">
        <v>1</v>
      </c>
      <c r="B7">
        <v>6</v>
      </c>
      <c r="C7">
        <v>3.38</v>
      </c>
    </row>
    <row r="8" spans="1:3">
      <c r="A8">
        <v>1</v>
      </c>
      <c r="B8">
        <v>7</v>
      </c>
      <c r="C8">
        <v>3.39</v>
      </c>
    </row>
    <row r="9" spans="1:3">
      <c r="A9">
        <v>1</v>
      </c>
      <c r="B9">
        <v>8</v>
      </c>
      <c r="C9">
        <v>3.41</v>
      </c>
    </row>
    <row r="10" spans="1:3">
      <c r="A10">
        <v>1</v>
      </c>
      <c r="B10">
        <v>9</v>
      </c>
      <c r="C10">
        <v>3.42</v>
      </c>
    </row>
    <row r="11" spans="1:3">
      <c r="A11">
        <v>1</v>
      </c>
      <c r="B11">
        <v>10</v>
      </c>
      <c r="C11">
        <v>3.44</v>
      </c>
    </row>
    <row r="12" spans="1:3">
      <c r="A12">
        <v>1</v>
      </c>
      <c r="B12">
        <v>11</v>
      </c>
      <c r="C12">
        <v>3.45</v>
      </c>
    </row>
    <row r="13" spans="1:3">
      <c r="A13">
        <v>1</v>
      </c>
      <c r="B13">
        <v>12</v>
      </c>
      <c r="C13">
        <v>3.47</v>
      </c>
    </row>
    <row r="14" spans="1:3">
      <c r="A14">
        <v>2</v>
      </c>
      <c r="B14">
        <v>1</v>
      </c>
      <c r="C14">
        <v>2.9</v>
      </c>
    </row>
    <row r="15" spans="1:3">
      <c r="A15">
        <v>2</v>
      </c>
      <c r="B15">
        <v>2</v>
      </c>
      <c r="C15">
        <v>2.91</v>
      </c>
    </row>
    <row r="16" spans="1:3">
      <c r="A16">
        <v>2</v>
      </c>
      <c r="B16">
        <v>3</v>
      </c>
      <c r="C16">
        <v>2.93</v>
      </c>
    </row>
    <row r="17" spans="1:3">
      <c r="A17">
        <v>2</v>
      </c>
      <c r="B17">
        <v>4</v>
      </c>
      <c r="C17">
        <v>2.94</v>
      </c>
    </row>
    <row r="18" spans="1:3">
      <c r="A18">
        <v>2</v>
      </c>
      <c r="B18">
        <v>5</v>
      </c>
      <c r="C18">
        <v>2.96</v>
      </c>
    </row>
    <row r="19" spans="1:3">
      <c r="A19">
        <v>2</v>
      </c>
      <c r="B19">
        <v>6</v>
      </c>
      <c r="C19">
        <v>2.98</v>
      </c>
    </row>
    <row r="20" spans="1:3">
      <c r="A20">
        <v>2</v>
      </c>
      <c r="B20">
        <v>7</v>
      </c>
      <c r="C20">
        <v>2.99</v>
      </c>
    </row>
    <row r="21" spans="1:3">
      <c r="A21">
        <v>2</v>
      </c>
      <c r="B21">
        <v>8</v>
      </c>
      <c r="C21">
        <v>3.01</v>
      </c>
    </row>
    <row r="22" spans="1:3">
      <c r="A22">
        <v>2</v>
      </c>
      <c r="B22">
        <v>9</v>
      </c>
      <c r="C22">
        <v>3.02</v>
      </c>
    </row>
    <row r="23" spans="1:3">
      <c r="A23">
        <v>2</v>
      </c>
      <c r="B23">
        <v>10</v>
      </c>
      <c r="C23">
        <v>3.04</v>
      </c>
    </row>
    <row r="24" spans="1:3">
      <c r="A24">
        <v>2</v>
      </c>
      <c r="B24">
        <v>11</v>
      </c>
      <c r="C24">
        <v>3.06</v>
      </c>
    </row>
    <row r="25" spans="1:3">
      <c r="A25">
        <v>2</v>
      </c>
      <c r="B25">
        <v>12</v>
      </c>
      <c r="C25">
        <v>3.07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5.03</v>
      </c>
    </row>
    <row r="28" spans="1:3">
      <c r="A28">
        <v>3</v>
      </c>
      <c r="B28">
        <v>3</v>
      </c>
      <c r="C28">
        <v>5.0599999999999996</v>
      </c>
    </row>
    <row r="29" spans="1:3">
      <c r="A29">
        <v>3</v>
      </c>
      <c r="B29">
        <v>4</v>
      </c>
      <c r="C29">
        <v>5.09</v>
      </c>
    </row>
    <row r="30" spans="1:3">
      <c r="A30">
        <v>3</v>
      </c>
      <c r="B30">
        <v>5</v>
      </c>
      <c r="C30">
        <v>5.12</v>
      </c>
    </row>
    <row r="31" spans="1:3">
      <c r="A31">
        <v>3</v>
      </c>
      <c r="B31">
        <v>6</v>
      </c>
      <c r="C31">
        <v>5.15</v>
      </c>
    </row>
    <row r="32" spans="1:3">
      <c r="A32">
        <v>3</v>
      </c>
      <c r="B32">
        <v>7</v>
      </c>
      <c r="C32">
        <v>5.18</v>
      </c>
    </row>
    <row r="33" spans="1:3">
      <c r="A33">
        <v>3</v>
      </c>
      <c r="B33">
        <v>8</v>
      </c>
      <c r="C33">
        <v>5.21</v>
      </c>
    </row>
    <row r="34" spans="1:3">
      <c r="A34">
        <v>3</v>
      </c>
      <c r="B34">
        <v>9</v>
      </c>
      <c r="C34">
        <v>5.24</v>
      </c>
    </row>
    <row r="35" spans="1:3">
      <c r="A35">
        <v>3</v>
      </c>
      <c r="B35">
        <v>10</v>
      </c>
      <c r="C35">
        <v>5.27</v>
      </c>
    </row>
    <row r="36" spans="1:3">
      <c r="A36">
        <v>3</v>
      </c>
      <c r="B36">
        <v>11</v>
      </c>
      <c r="C36">
        <v>5.3</v>
      </c>
    </row>
    <row r="37" spans="1:3">
      <c r="A37">
        <v>3</v>
      </c>
      <c r="B37">
        <v>12</v>
      </c>
      <c r="C37">
        <v>5.33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29D0-DAA3-465E-A476-9A5F26F47902}">
  <sheetPr>
    <tabColor rgb="FFFF0000"/>
  </sheetPr>
  <dimension ref="A1:J37"/>
  <sheetViews>
    <sheetView workbookViewId="0">
      <selection activeCell="G7" sqref="G7"/>
    </sheetView>
  </sheetViews>
  <sheetFormatPr defaultRowHeight="15"/>
  <cols>
    <col min="1" max="1" width="9.85546875" bestFit="1" customWidth="1"/>
    <col min="3" max="3" width="31.5703125" customWidth="1"/>
  </cols>
  <sheetData>
    <row r="1" spans="1:10">
      <c r="A1" t="s">
        <v>10</v>
      </c>
      <c r="B1" s="5" t="s">
        <v>11</v>
      </c>
      <c r="C1" s="4" t="s">
        <v>12</v>
      </c>
      <c r="D1" s="11">
        <v>0.8</v>
      </c>
      <c r="E1" s="11">
        <v>1.2</v>
      </c>
      <c r="J1" s="5"/>
    </row>
    <row r="2" spans="1:10">
      <c r="A2">
        <v>1</v>
      </c>
      <c r="B2">
        <v>1</v>
      </c>
      <c r="C2">
        <v>20571429</v>
      </c>
      <c r="D2">
        <f>C2*0.8</f>
        <v>16457143.200000001</v>
      </c>
      <c r="E2">
        <f>C2*1.2</f>
        <v>24685714.800000001</v>
      </c>
    </row>
    <row r="3" spans="1:10">
      <c r="A3">
        <v>1</v>
      </c>
      <c r="B3">
        <v>2</v>
      </c>
      <c r="C3">
        <v>20571429</v>
      </c>
      <c r="D3">
        <f t="shared" ref="D3:D37" si="0">C3*0.8</f>
        <v>16457143.200000001</v>
      </c>
      <c r="E3">
        <f t="shared" ref="E3:E37" si="1">C3*1.2</f>
        <v>24685714.800000001</v>
      </c>
    </row>
    <row r="4" spans="1:10">
      <c r="A4">
        <v>1</v>
      </c>
      <c r="B4">
        <v>3</v>
      </c>
      <c r="C4">
        <v>20571429</v>
      </c>
      <c r="D4">
        <f t="shared" si="0"/>
        <v>16457143.200000001</v>
      </c>
      <c r="E4">
        <f t="shared" si="1"/>
        <v>24685714.800000001</v>
      </c>
    </row>
    <row r="5" spans="1:10">
      <c r="A5">
        <v>1</v>
      </c>
      <c r="B5">
        <v>4</v>
      </c>
      <c r="C5">
        <v>20571429</v>
      </c>
      <c r="D5">
        <f t="shared" si="0"/>
        <v>16457143.200000001</v>
      </c>
      <c r="E5">
        <f t="shared" si="1"/>
        <v>24685714.800000001</v>
      </c>
    </row>
    <row r="6" spans="1:10">
      <c r="A6">
        <v>1</v>
      </c>
      <c r="B6">
        <v>5</v>
      </c>
      <c r="C6">
        <v>20571429</v>
      </c>
      <c r="D6">
        <f t="shared" si="0"/>
        <v>16457143.200000001</v>
      </c>
      <c r="E6">
        <f t="shared" si="1"/>
        <v>24685714.800000001</v>
      </c>
    </row>
    <row r="7" spans="1:10">
      <c r="A7">
        <v>1</v>
      </c>
      <c r="B7">
        <v>6</v>
      </c>
      <c r="C7">
        <v>20571429</v>
      </c>
      <c r="D7">
        <f t="shared" si="0"/>
        <v>16457143.200000001</v>
      </c>
      <c r="E7">
        <f t="shared" si="1"/>
        <v>24685714.800000001</v>
      </c>
    </row>
    <row r="8" spans="1:10">
      <c r="A8">
        <v>1</v>
      </c>
      <c r="B8">
        <v>7</v>
      </c>
      <c r="C8">
        <v>20571429</v>
      </c>
      <c r="D8">
        <f t="shared" si="0"/>
        <v>16457143.200000001</v>
      </c>
      <c r="E8">
        <f t="shared" si="1"/>
        <v>24685714.800000001</v>
      </c>
    </row>
    <row r="9" spans="1:10">
      <c r="A9">
        <v>1</v>
      </c>
      <c r="B9">
        <v>8</v>
      </c>
      <c r="C9">
        <v>20571429</v>
      </c>
      <c r="D9">
        <f t="shared" si="0"/>
        <v>16457143.200000001</v>
      </c>
      <c r="E9">
        <f t="shared" si="1"/>
        <v>24685714.800000001</v>
      </c>
    </row>
    <row r="10" spans="1:10">
      <c r="A10">
        <v>1</v>
      </c>
      <c r="B10">
        <v>9</v>
      </c>
      <c r="C10">
        <v>20571429</v>
      </c>
      <c r="D10">
        <f t="shared" si="0"/>
        <v>16457143.200000001</v>
      </c>
      <c r="E10">
        <f t="shared" si="1"/>
        <v>24685714.800000001</v>
      </c>
    </row>
    <row r="11" spans="1:10">
      <c r="A11">
        <v>1</v>
      </c>
      <c r="B11">
        <v>10</v>
      </c>
      <c r="C11">
        <v>20571429</v>
      </c>
      <c r="D11">
        <f t="shared" si="0"/>
        <v>16457143.200000001</v>
      </c>
      <c r="E11">
        <f t="shared" si="1"/>
        <v>24685714.800000001</v>
      </c>
    </row>
    <row r="12" spans="1:10">
      <c r="A12">
        <v>1</v>
      </c>
      <c r="B12">
        <v>11</v>
      </c>
      <c r="C12">
        <v>20571429</v>
      </c>
      <c r="D12">
        <f t="shared" si="0"/>
        <v>16457143.200000001</v>
      </c>
      <c r="E12">
        <f t="shared" si="1"/>
        <v>24685714.800000001</v>
      </c>
    </row>
    <row r="13" spans="1:10">
      <c r="A13">
        <v>1</v>
      </c>
      <c r="B13">
        <v>12</v>
      </c>
      <c r="C13">
        <v>20571429</v>
      </c>
      <c r="D13">
        <f t="shared" si="0"/>
        <v>16457143.200000001</v>
      </c>
      <c r="E13">
        <f t="shared" si="1"/>
        <v>24685714.800000001</v>
      </c>
    </row>
    <row r="14" spans="1:10">
      <c r="A14">
        <v>2</v>
      </c>
      <c r="B14">
        <v>1</v>
      </c>
      <c r="C14">
        <v>48214286</v>
      </c>
      <c r="D14">
        <f t="shared" si="0"/>
        <v>38571428.800000004</v>
      </c>
      <c r="E14">
        <f t="shared" si="1"/>
        <v>57857143.199999996</v>
      </c>
    </row>
    <row r="15" spans="1:10">
      <c r="A15">
        <v>2</v>
      </c>
      <c r="B15">
        <v>2</v>
      </c>
      <c r="C15">
        <v>48214286</v>
      </c>
      <c r="D15">
        <f t="shared" si="0"/>
        <v>38571428.800000004</v>
      </c>
      <c r="E15">
        <f t="shared" si="1"/>
        <v>57857143.199999996</v>
      </c>
    </row>
    <row r="16" spans="1:10">
      <c r="A16">
        <v>2</v>
      </c>
      <c r="B16">
        <v>3</v>
      </c>
      <c r="C16">
        <v>48214286</v>
      </c>
      <c r="D16">
        <f t="shared" si="0"/>
        <v>38571428.800000004</v>
      </c>
      <c r="E16">
        <f t="shared" si="1"/>
        <v>57857143.199999996</v>
      </c>
    </row>
    <row r="17" spans="1:5">
      <c r="A17">
        <v>2</v>
      </c>
      <c r="B17">
        <v>4</v>
      </c>
      <c r="C17">
        <v>48214286</v>
      </c>
      <c r="D17">
        <f t="shared" si="0"/>
        <v>38571428.800000004</v>
      </c>
      <c r="E17">
        <f t="shared" si="1"/>
        <v>57857143.199999996</v>
      </c>
    </row>
    <row r="18" spans="1:5">
      <c r="A18">
        <v>2</v>
      </c>
      <c r="B18">
        <v>5</v>
      </c>
      <c r="C18">
        <v>48214286</v>
      </c>
      <c r="D18">
        <f t="shared" si="0"/>
        <v>38571428.800000004</v>
      </c>
      <c r="E18">
        <f t="shared" si="1"/>
        <v>57857143.199999996</v>
      </c>
    </row>
    <row r="19" spans="1:5">
      <c r="A19">
        <v>2</v>
      </c>
      <c r="B19">
        <v>6</v>
      </c>
      <c r="C19">
        <v>48214286</v>
      </c>
      <c r="D19">
        <f t="shared" si="0"/>
        <v>38571428.800000004</v>
      </c>
      <c r="E19">
        <f t="shared" si="1"/>
        <v>57857143.199999996</v>
      </c>
    </row>
    <row r="20" spans="1:5">
      <c r="A20">
        <v>2</v>
      </c>
      <c r="B20">
        <v>7</v>
      </c>
      <c r="C20">
        <v>48214286</v>
      </c>
      <c r="D20">
        <f t="shared" si="0"/>
        <v>38571428.800000004</v>
      </c>
      <c r="E20">
        <f t="shared" si="1"/>
        <v>57857143.199999996</v>
      </c>
    </row>
    <row r="21" spans="1:5">
      <c r="A21">
        <v>2</v>
      </c>
      <c r="B21">
        <v>8</v>
      </c>
      <c r="C21">
        <v>48214286</v>
      </c>
      <c r="D21">
        <f t="shared" si="0"/>
        <v>38571428.800000004</v>
      </c>
      <c r="E21">
        <f t="shared" si="1"/>
        <v>57857143.199999996</v>
      </c>
    </row>
    <row r="22" spans="1:5">
      <c r="A22">
        <v>2</v>
      </c>
      <c r="B22">
        <v>9</v>
      </c>
      <c r="C22">
        <v>48214286</v>
      </c>
      <c r="D22">
        <f t="shared" si="0"/>
        <v>38571428.800000004</v>
      </c>
      <c r="E22">
        <f t="shared" si="1"/>
        <v>57857143.199999996</v>
      </c>
    </row>
    <row r="23" spans="1:5">
      <c r="A23">
        <v>2</v>
      </c>
      <c r="B23">
        <v>10</v>
      </c>
      <c r="C23">
        <v>48214286</v>
      </c>
      <c r="D23">
        <f t="shared" si="0"/>
        <v>38571428.800000004</v>
      </c>
      <c r="E23">
        <f t="shared" si="1"/>
        <v>57857143.199999996</v>
      </c>
    </row>
    <row r="24" spans="1:5">
      <c r="A24">
        <v>2</v>
      </c>
      <c r="B24">
        <v>11</v>
      </c>
      <c r="C24">
        <v>48214286</v>
      </c>
      <c r="D24">
        <f t="shared" si="0"/>
        <v>38571428.800000004</v>
      </c>
      <c r="E24">
        <f t="shared" si="1"/>
        <v>57857143.199999996</v>
      </c>
    </row>
    <row r="25" spans="1:5">
      <c r="A25">
        <v>2</v>
      </c>
      <c r="B25">
        <v>12</v>
      </c>
      <c r="C25">
        <v>48214286</v>
      </c>
      <c r="D25">
        <f t="shared" si="0"/>
        <v>38571428.800000004</v>
      </c>
      <c r="E25">
        <f t="shared" si="1"/>
        <v>57857143.199999996</v>
      </c>
    </row>
    <row r="26" spans="1:5">
      <c r="A26">
        <v>3</v>
      </c>
      <c r="B26">
        <v>1</v>
      </c>
      <c r="C26">
        <v>21214286</v>
      </c>
      <c r="D26">
        <f t="shared" si="0"/>
        <v>16971428.800000001</v>
      </c>
      <c r="E26">
        <f t="shared" si="1"/>
        <v>25457143.199999999</v>
      </c>
    </row>
    <row r="27" spans="1:5">
      <c r="A27">
        <v>3</v>
      </c>
      <c r="B27">
        <v>2</v>
      </c>
      <c r="C27">
        <v>21214286</v>
      </c>
      <c r="D27">
        <f t="shared" si="0"/>
        <v>16971428.800000001</v>
      </c>
      <c r="E27">
        <f t="shared" si="1"/>
        <v>25457143.199999999</v>
      </c>
    </row>
    <row r="28" spans="1:5">
      <c r="A28">
        <v>3</v>
      </c>
      <c r="B28">
        <v>3</v>
      </c>
      <c r="C28">
        <v>21214286</v>
      </c>
      <c r="D28">
        <f t="shared" si="0"/>
        <v>16971428.800000001</v>
      </c>
      <c r="E28">
        <f t="shared" si="1"/>
        <v>25457143.199999999</v>
      </c>
    </row>
    <row r="29" spans="1:5">
      <c r="A29">
        <v>3</v>
      </c>
      <c r="B29">
        <v>4</v>
      </c>
      <c r="C29">
        <v>21214286</v>
      </c>
      <c r="D29">
        <f t="shared" si="0"/>
        <v>16971428.800000001</v>
      </c>
      <c r="E29">
        <f t="shared" si="1"/>
        <v>25457143.199999999</v>
      </c>
    </row>
    <row r="30" spans="1:5">
      <c r="A30">
        <v>3</v>
      </c>
      <c r="B30">
        <v>5</v>
      </c>
      <c r="C30">
        <v>21214286</v>
      </c>
      <c r="D30">
        <f t="shared" si="0"/>
        <v>16971428.800000001</v>
      </c>
      <c r="E30">
        <f t="shared" si="1"/>
        <v>25457143.199999999</v>
      </c>
    </row>
    <row r="31" spans="1:5">
      <c r="A31">
        <v>3</v>
      </c>
      <c r="B31">
        <v>6</v>
      </c>
      <c r="C31">
        <v>21214286</v>
      </c>
      <c r="D31">
        <f t="shared" si="0"/>
        <v>16971428.800000001</v>
      </c>
      <c r="E31">
        <f t="shared" si="1"/>
        <v>25457143.199999999</v>
      </c>
    </row>
    <row r="32" spans="1:5">
      <c r="A32">
        <v>3</v>
      </c>
      <c r="B32">
        <v>7</v>
      </c>
      <c r="C32">
        <v>21214286</v>
      </c>
      <c r="D32">
        <f t="shared" si="0"/>
        <v>16971428.800000001</v>
      </c>
      <c r="E32">
        <f t="shared" si="1"/>
        <v>25457143.199999999</v>
      </c>
    </row>
    <row r="33" spans="1:5">
      <c r="A33">
        <v>3</v>
      </c>
      <c r="B33">
        <v>8</v>
      </c>
      <c r="C33">
        <v>21214286</v>
      </c>
      <c r="D33">
        <f t="shared" si="0"/>
        <v>16971428.800000001</v>
      </c>
      <c r="E33">
        <f t="shared" si="1"/>
        <v>25457143.199999999</v>
      </c>
    </row>
    <row r="34" spans="1:5">
      <c r="A34">
        <v>3</v>
      </c>
      <c r="B34">
        <v>9</v>
      </c>
      <c r="C34">
        <v>21214286</v>
      </c>
      <c r="D34">
        <f t="shared" si="0"/>
        <v>16971428.800000001</v>
      </c>
      <c r="E34">
        <f t="shared" si="1"/>
        <v>25457143.199999999</v>
      </c>
    </row>
    <row r="35" spans="1:5">
      <c r="A35">
        <v>3</v>
      </c>
      <c r="B35">
        <v>10</v>
      </c>
      <c r="C35">
        <v>21214286</v>
      </c>
      <c r="D35">
        <f t="shared" si="0"/>
        <v>16971428.800000001</v>
      </c>
      <c r="E35">
        <f t="shared" si="1"/>
        <v>25457143.199999999</v>
      </c>
    </row>
    <row r="36" spans="1:5">
      <c r="A36">
        <v>3</v>
      </c>
      <c r="B36">
        <v>11</v>
      </c>
      <c r="C36">
        <v>21214286</v>
      </c>
      <c r="D36">
        <f t="shared" si="0"/>
        <v>16971428.800000001</v>
      </c>
      <c r="E36">
        <f t="shared" si="1"/>
        <v>25457143.199999999</v>
      </c>
    </row>
    <row r="37" spans="1:5">
      <c r="A37">
        <v>3</v>
      </c>
      <c r="B37">
        <v>12</v>
      </c>
      <c r="C37">
        <v>21214286</v>
      </c>
      <c r="D37">
        <f t="shared" si="0"/>
        <v>16971428.800000001</v>
      </c>
      <c r="E37">
        <f t="shared" si="1"/>
        <v>25457143.199999999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6AD8-B1A4-4C06-977D-3047ACD9F5F6}">
  <sheetPr>
    <tabColor theme="9" tint="0.39997558519241921"/>
  </sheetPr>
  <dimension ref="A1:D4"/>
  <sheetViews>
    <sheetView workbookViewId="0">
      <selection activeCell="F4" sqref="F4"/>
    </sheetView>
  </sheetViews>
  <sheetFormatPr defaultRowHeight="15"/>
  <cols>
    <col min="1" max="1" width="11" customWidth="1"/>
    <col min="2" max="2" width="55.85546875" bestFit="1" customWidth="1"/>
  </cols>
  <sheetData>
    <row r="1" spans="1:4">
      <c r="A1" t="s">
        <v>10</v>
      </c>
      <c r="B1" t="s">
        <v>13</v>
      </c>
      <c r="C1" s="11">
        <v>0.75</v>
      </c>
      <c r="D1" s="11">
        <v>0.5</v>
      </c>
    </row>
    <row r="2" spans="1:4">
      <c r="A2">
        <v>1</v>
      </c>
      <c r="B2">
        <v>18</v>
      </c>
      <c r="C2" s="6">
        <f>0.75*B2</f>
        <v>13.5</v>
      </c>
      <c r="D2">
        <f>0.5*B2</f>
        <v>9</v>
      </c>
    </row>
    <row r="3" spans="1:4">
      <c r="A3">
        <v>2</v>
      </c>
      <c r="B3">
        <v>43</v>
      </c>
      <c r="C3" s="6">
        <f t="shared" ref="C3:C4" si="0">0.75*B3</f>
        <v>32.25</v>
      </c>
      <c r="D3">
        <v>22</v>
      </c>
    </row>
    <row r="4" spans="1:4">
      <c r="A4">
        <v>3</v>
      </c>
      <c r="B4" s="9">
        <v>19</v>
      </c>
      <c r="C4" s="6">
        <f t="shared" si="0"/>
        <v>14.25</v>
      </c>
      <c r="D4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2C5D-83A0-4A2B-AC9C-87B949149B98}">
  <sheetPr>
    <tabColor theme="9" tint="0.39997558519241921"/>
  </sheetPr>
  <dimension ref="A1:B4"/>
  <sheetViews>
    <sheetView workbookViewId="0">
      <selection activeCell="B2" sqref="B2"/>
    </sheetView>
  </sheetViews>
  <sheetFormatPr defaultRowHeight="15"/>
  <cols>
    <col min="1" max="1" width="24.28515625" customWidth="1"/>
  </cols>
  <sheetData>
    <row r="1" spans="1:2">
      <c r="A1" s="1" t="s">
        <v>0</v>
      </c>
      <c r="B1" t="s">
        <v>14</v>
      </c>
    </row>
    <row r="2" spans="1:2">
      <c r="A2" s="1">
        <v>1</v>
      </c>
      <c r="B2">
        <v>1</v>
      </c>
    </row>
    <row r="3" spans="1:2">
      <c r="A3" s="1">
        <v>2</v>
      </c>
      <c r="B3">
        <v>2</v>
      </c>
    </row>
    <row r="4" spans="1:2">
      <c r="A4" s="1">
        <v>3</v>
      </c>
      <c r="B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C840-C478-4147-BF5A-B752FB77B2BC}">
  <sheetPr>
    <tabColor theme="9" tint="0.39997558519241921"/>
  </sheetPr>
  <dimension ref="A1:I37"/>
  <sheetViews>
    <sheetView workbookViewId="0">
      <selection activeCell="C2" sqref="C2"/>
    </sheetView>
  </sheetViews>
  <sheetFormatPr defaultRowHeight="15"/>
  <cols>
    <col min="1" max="1" width="13" bestFit="1" customWidth="1"/>
  </cols>
  <sheetData>
    <row r="1" spans="1:9">
      <c r="A1" t="s">
        <v>10</v>
      </c>
      <c r="B1" t="s">
        <v>11</v>
      </c>
      <c r="C1" t="s">
        <v>15</v>
      </c>
    </row>
    <row r="2" spans="1:9">
      <c r="A2">
        <v>1</v>
      </c>
      <c r="B2">
        <v>1</v>
      </c>
      <c r="C2">
        <v>539000</v>
      </c>
      <c r="I2" s="6"/>
    </row>
    <row r="3" spans="1:9">
      <c r="A3">
        <v>1</v>
      </c>
      <c r="B3">
        <v>2</v>
      </c>
      <c r="C3">
        <v>539000</v>
      </c>
    </row>
    <row r="4" spans="1:9">
      <c r="A4">
        <v>1</v>
      </c>
      <c r="B4">
        <v>3</v>
      </c>
      <c r="C4">
        <v>539000</v>
      </c>
    </row>
    <row r="5" spans="1:9">
      <c r="A5">
        <v>1</v>
      </c>
      <c r="B5">
        <v>4</v>
      </c>
      <c r="C5">
        <v>539000</v>
      </c>
    </row>
    <row r="6" spans="1:9">
      <c r="A6">
        <v>1</v>
      </c>
      <c r="B6">
        <v>5</v>
      </c>
      <c r="C6">
        <v>539000</v>
      </c>
    </row>
    <row r="7" spans="1:9">
      <c r="A7">
        <v>1</v>
      </c>
      <c r="B7">
        <v>6</v>
      </c>
      <c r="C7">
        <v>539000</v>
      </c>
    </row>
    <row r="8" spans="1:9">
      <c r="A8">
        <v>1</v>
      </c>
      <c r="B8">
        <v>7</v>
      </c>
      <c r="C8">
        <v>539000</v>
      </c>
    </row>
    <row r="9" spans="1:9">
      <c r="A9">
        <v>1</v>
      </c>
      <c r="B9">
        <v>8</v>
      </c>
      <c r="C9">
        <v>539000</v>
      </c>
    </row>
    <row r="10" spans="1:9">
      <c r="A10">
        <v>1</v>
      </c>
      <c r="B10">
        <v>9</v>
      </c>
      <c r="C10">
        <v>639000</v>
      </c>
    </row>
    <row r="11" spans="1:9">
      <c r="A11">
        <v>1</v>
      </c>
      <c r="B11">
        <v>10</v>
      </c>
      <c r="C11">
        <v>539000</v>
      </c>
    </row>
    <row r="12" spans="1:9">
      <c r="A12">
        <v>1</v>
      </c>
      <c r="B12">
        <v>11</v>
      </c>
      <c r="C12">
        <v>539000</v>
      </c>
    </row>
    <row r="13" spans="1:9">
      <c r="A13">
        <v>1</v>
      </c>
      <c r="B13">
        <v>12</v>
      </c>
      <c r="C13">
        <v>639000</v>
      </c>
    </row>
    <row r="14" spans="1:9">
      <c r="A14">
        <v>2</v>
      </c>
      <c r="B14">
        <v>1</v>
      </c>
      <c r="C14">
        <v>539000</v>
      </c>
    </row>
    <row r="15" spans="1:9">
      <c r="A15">
        <v>2</v>
      </c>
      <c r="B15">
        <v>2</v>
      </c>
      <c r="C15">
        <v>539000</v>
      </c>
    </row>
    <row r="16" spans="1:9">
      <c r="A16">
        <v>2</v>
      </c>
      <c r="B16">
        <v>3</v>
      </c>
      <c r="C16">
        <v>539000</v>
      </c>
    </row>
    <row r="17" spans="1:3">
      <c r="A17">
        <v>2</v>
      </c>
      <c r="B17">
        <v>4</v>
      </c>
      <c r="C17">
        <v>539000</v>
      </c>
    </row>
    <row r="18" spans="1:3">
      <c r="A18">
        <v>2</v>
      </c>
      <c r="B18">
        <v>5</v>
      </c>
      <c r="C18">
        <v>539000</v>
      </c>
    </row>
    <row r="19" spans="1:3">
      <c r="A19">
        <v>2</v>
      </c>
      <c r="B19">
        <v>6</v>
      </c>
      <c r="C19">
        <v>539000</v>
      </c>
    </row>
    <row r="20" spans="1:3">
      <c r="A20">
        <v>2</v>
      </c>
      <c r="B20">
        <v>7</v>
      </c>
      <c r="C20">
        <v>539000</v>
      </c>
    </row>
    <row r="21" spans="1:3">
      <c r="A21">
        <v>2</v>
      </c>
      <c r="B21">
        <v>8</v>
      </c>
      <c r="C21">
        <v>539000</v>
      </c>
    </row>
    <row r="22" spans="1:3">
      <c r="A22">
        <v>2</v>
      </c>
      <c r="B22">
        <v>9</v>
      </c>
      <c r="C22">
        <v>639000</v>
      </c>
    </row>
    <row r="23" spans="1:3">
      <c r="A23">
        <v>2</v>
      </c>
      <c r="B23">
        <v>10</v>
      </c>
      <c r="C23">
        <v>539000</v>
      </c>
    </row>
    <row r="24" spans="1:3">
      <c r="A24">
        <v>2</v>
      </c>
      <c r="B24">
        <v>11</v>
      </c>
      <c r="C24">
        <v>539000</v>
      </c>
    </row>
    <row r="25" spans="1:3">
      <c r="A25">
        <v>2</v>
      </c>
      <c r="B25">
        <v>12</v>
      </c>
      <c r="C25">
        <v>639000</v>
      </c>
    </row>
    <row r="26" spans="1:3">
      <c r="A26">
        <v>3</v>
      </c>
      <c r="B26">
        <v>1</v>
      </c>
      <c r="C26">
        <v>539000</v>
      </c>
    </row>
    <row r="27" spans="1:3">
      <c r="A27">
        <v>3</v>
      </c>
      <c r="B27">
        <v>2</v>
      </c>
      <c r="C27">
        <v>539000</v>
      </c>
    </row>
    <row r="28" spans="1:3">
      <c r="A28">
        <v>3</v>
      </c>
      <c r="B28">
        <v>3</v>
      </c>
      <c r="C28">
        <v>539000</v>
      </c>
    </row>
    <row r="29" spans="1:3">
      <c r="A29">
        <v>3</v>
      </c>
      <c r="B29">
        <v>4</v>
      </c>
      <c r="C29">
        <v>539000</v>
      </c>
    </row>
    <row r="30" spans="1:3">
      <c r="A30">
        <v>3</v>
      </c>
      <c r="B30">
        <v>5</v>
      </c>
      <c r="C30">
        <v>539000</v>
      </c>
    </row>
    <row r="31" spans="1:3">
      <c r="A31">
        <v>3</v>
      </c>
      <c r="B31">
        <v>6</v>
      </c>
      <c r="C31">
        <v>539000</v>
      </c>
    </row>
    <row r="32" spans="1:3">
      <c r="A32">
        <v>3</v>
      </c>
      <c r="B32">
        <v>7</v>
      </c>
      <c r="C32">
        <v>539000</v>
      </c>
    </row>
    <row r="33" spans="1:3">
      <c r="A33">
        <v>3</v>
      </c>
      <c r="B33">
        <v>8</v>
      </c>
      <c r="C33">
        <v>539000</v>
      </c>
    </row>
    <row r="34" spans="1:3">
      <c r="A34">
        <v>3</v>
      </c>
      <c r="B34">
        <v>9</v>
      </c>
      <c r="C34">
        <v>639000</v>
      </c>
    </row>
    <row r="35" spans="1:3">
      <c r="A35">
        <v>3</v>
      </c>
      <c r="B35">
        <v>10</v>
      </c>
      <c r="C35">
        <v>539000</v>
      </c>
    </row>
    <row r="36" spans="1:3">
      <c r="A36">
        <v>3</v>
      </c>
      <c r="B36">
        <v>11</v>
      </c>
      <c r="C36">
        <v>539000</v>
      </c>
    </row>
    <row r="37" spans="1:3">
      <c r="A37">
        <v>3</v>
      </c>
      <c r="B37">
        <v>12</v>
      </c>
      <c r="C37">
        <v>639000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2246-043E-4B41-81D1-85965CE27D32}">
  <sheetPr>
    <tabColor theme="9" tint="0.39997558519241921"/>
  </sheetPr>
  <dimension ref="A1:C37"/>
  <sheetViews>
    <sheetView workbookViewId="0">
      <selection activeCell="C2" sqref="C2"/>
    </sheetView>
  </sheetViews>
  <sheetFormatPr defaultRowHeight="15"/>
  <sheetData>
    <row r="1" spans="1:3">
      <c r="A1" t="s">
        <v>10</v>
      </c>
      <c r="B1" t="s">
        <v>11</v>
      </c>
      <c r="C1" t="s">
        <v>16</v>
      </c>
    </row>
    <row r="2" spans="1:3">
      <c r="A2">
        <v>1</v>
      </c>
      <c r="B2">
        <v>1</v>
      </c>
      <c r="C2">
        <v>700700</v>
      </c>
    </row>
    <row r="3" spans="1:3">
      <c r="A3">
        <v>1</v>
      </c>
      <c r="B3">
        <v>2</v>
      </c>
      <c r="C3">
        <v>700700</v>
      </c>
    </row>
    <row r="4" spans="1:3">
      <c r="A4">
        <v>1</v>
      </c>
      <c r="B4">
        <v>3</v>
      </c>
      <c r="C4">
        <v>700700</v>
      </c>
    </row>
    <row r="5" spans="1:3">
      <c r="A5">
        <v>1</v>
      </c>
      <c r="B5">
        <v>4</v>
      </c>
      <c r="C5">
        <v>700700</v>
      </c>
    </row>
    <row r="6" spans="1:3">
      <c r="A6">
        <v>1</v>
      </c>
      <c r="B6">
        <v>5</v>
      </c>
      <c r="C6">
        <v>700700</v>
      </c>
    </row>
    <row r="7" spans="1:3">
      <c r="A7">
        <v>1</v>
      </c>
      <c r="B7">
        <v>6</v>
      </c>
      <c r="C7">
        <v>700700</v>
      </c>
    </row>
    <row r="8" spans="1:3">
      <c r="A8">
        <v>1</v>
      </c>
      <c r="B8">
        <v>7</v>
      </c>
      <c r="C8">
        <v>700700</v>
      </c>
    </row>
    <row r="9" spans="1:3">
      <c r="A9">
        <v>1</v>
      </c>
      <c r="B9">
        <v>8</v>
      </c>
      <c r="C9">
        <v>700700</v>
      </c>
    </row>
    <row r="10" spans="1:3">
      <c r="A10">
        <v>1</v>
      </c>
      <c r="B10">
        <v>9</v>
      </c>
      <c r="C10">
        <v>830700</v>
      </c>
    </row>
    <row r="11" spans="1:3">
      <c r="A11">
        <v>1</v>
      </c>
      <c r="B11">
        <v>10</v>
      </c>
      <c r="C11">
        <v>700700</v>
      </c>
    </row>
    <row r="12" spans="1:3">
      <c r="A12">
        <v>1</v>
      </c>
      <c r="B12">
        <v>11</v>
      </c>
      <c r="C12">
        <v>700700</v>
      </c>
    </row>
    <row r="13" spans="1:3">
      <c r="A13">
        <v>1</v>
      </c>
      <c r="B13">
        <v>12</v>
      </c>
      <c r="C13">
        <v>830700</v>
      </c>
    </row>
    <row r="14" spans="1:3">
      <c r="A14">
        <v>2</v>
      </c>
      <c r="B14">
        <v>1</v>
      </c>
      <c r="C14">
        <v>700700</v>
      </c>
    </row>
    <row r="15" spans="1:3">
      <c r="A15">
        <v>2</v>
      </c>
      <c r="B15">
        <v>2</v>
      </c>
      <c r="C15">
        <v>700700</v>
      </c>
    </row>
    <row r="16" spans="1:3">
      <c r="A16">
        <v>2</v>
      </c>
      <c r="B16">
        <v>3</v>
      </c>
      <c r="C16">
        <v>700700</v>
      </c>
    </row>
    <row r="17" spans="1:3">
      <c r="A17">
        <v>2</v>
      </c>
      <c r="B17">
        <v>4</v>
      </c>
      <c r="C17">
        <v>700700</v>
      </c>
    </row>
    <row r="18" spans="1:3">
      <c r="A18">
        <v>2</v>
      </c>
      <c r="B18">
        <v>5</v>
      </c>
      <c r="C18">
        <v>700700</v>
      </c>
    </row>
    <row r="19" spans="1:3">
      <c r="A19">
        <v>2</v>
      </c>
      <c r="B19">
        <v>6</v>
      </c>
      <c r="C19">
        <v>700700</v>
      </c>
    </row>
    <row r="20" spans="1:3">
      <c r="A20">
        <v>2</v>
      </c>
      <c r="B20">
        <v>7</v>
      </c>
      <c r="C20">
        <v>700700</v>
      </c>
    </row>
    <row r="21" spans="1:3">
      <c r="A21">
        <v>2</v>
      </c>
      <c r="B21">
        <v>8</v>
      </c>
      <c r="C21">
        <v>700700</v>
      </c>
    </row>
    <row r="22" spans="1:3">
      <c r="A22">
        <v>2</v>
      </c>
      <c r="B22">
        <v>9</v>
      </c>
      <c r="C22">
        <v>830700</v>
      </c>
    </row>
    <row r="23" spans="1:3">
      <c r="A23">
        <v>2</v>
      </c>
      <c r="B23">
        <v>10</v>
      </c>
      <c r="C23">
        <v>700700</v>
      </c>
    </row>
    <row r="24" spans="1:3">
      <c r="A24">
        <v>2</v>
      </c>
      <c r="B24">
        <v>11</v>
      </c>
      <c r="C24">
        <v>700700</v>
      </c>
    </row>
    <row r="25" spans="1:3">
      <c r="A25">
        <v>2</v>
      </c>
      <c r="B25">
        <v>12</v>
      </c>
      <c r="C25">
        <v>830700</v>
      </c>
    </row>
    <row r="26" spans="1:3">
      <c r="A26">
        <v>3</v>
      </c>
      <c r="B26">
        <v>1</v>
      </c>
      <c r="C26">
        <v>700700</v>
      </c>
    </row>
    <row r="27" spans="1:3">
      <c r="A27">
        <v>3</v>
      </c>
      <c r="B27">
        <v>2</v>
      </c>
      <c r="C27">
        <v>700700</v>
      </c>
    </row>
    <row r="28" spans="1:3">
      <c r="A28">
        <v>3</v>
      </c>
      <c r="B28">
        <v>3</v>
      </c>
      <c r="C28">
        <v>700700</v>
      </c>
    </row>
    <row r="29" spans="1:3">
      <c r="A29">
        <v>3</v>
      </c>
      <c r="B29">
        <v>4</v>
      </c>
      <c r="C29">
        <v>700700</v>
      </c>
    </row>
    <row r="30" spans="1:3">
      <c r="A30">
        <v>3</v>
      </c>
      <c r="B30">
        <v>5</v>
      </c>
      <c r="C30">
        <v>700700</v>
      </c>
    </row>
    <row r="31" spans="1:3">
      <c r="A31">
        <v>3</v>
      </c>
      <c r="B31">
        <v>6</v>
      </c>
      <c r="C31">
        <v>700700</v>
      </c>
    </row>
    <row r="32" spans="1:3">
      <c r="A32">
        <v>3</v>
      </c>
      <c r="B32">
        <v>7</v>
      </c>
      <c r="C32">
        <v>700700</v>
      </c>
    </row>
    <row r="33" spans="1:3">
      <c r="A33">
        <v>3</v>
      </c>
      <c r="B33">
        <v>8</v>
      </c>
      <c r="C33">
        <v>700700</v>
      </c>
    </row>
    <row r="34" spans="1:3">
      <c r="A34">
        <v>3</v>
      </c>
      <c r="B34">
        <v>9</v>
      </c>
      <c r="C34">
        <v>830700</v>
      </c>
    </row>
    <row r="35" spans="1:3">
      <c r="A35">
        <v>3</v>
      </c>
      <c r="B35">
        <v>10</v>
      </c>
      <c r="C35">
        <v>700700</v>
      </c>
    </row>
    <row r="36" spans="1:3">
      <c r="A36">
        <v>3</v>
      </c>
      <c r="B36">
        <v>11</v>
      </c>
      <c r="C36">
        <v>700700</v>
      </c>
    </row>
    <row r="37" spans="1:3">
      <c r="A37">
        <v>3</v>
      </c>
      <c r="B37">
        <v>12</v>
      </c>
      <c r="C37">
        <v>830700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EAA7-2849-4F81-BE8E-73146BBCC47A}">
  <sheetPr>
    <tabColor theme="9" tint="0.39997558519241921"/>
  </sheetPr>
  <dimension ref="A1:C25"/>
  <sheetViews>
    <sheetView workbookViewId="0">
      <selection activeCell="F5" sqref="F5"/>
    </sheetView>
  </sheetViews>
  <sheetFormatPr defaultRowHeight="15"/>
  <cols>
    <col min="1" max="1" width="16.7109375" customWidth="1"/>
    <col min="2" max="2" width="10.140625" customWidth="1"/>
    <col min="3" max="3" width="21.5703125" bestFit="1" customWidth="1"/>
  </cols>
  <sheetData>
    <row r="1" spans="1:3">
      <c r="A1" t="s">
        <v>17</v>
      </c>
      <c r="B1" t="s">
        <v>18</v>
      </c>
      <c r="C1" t="s">
        <v>19</v>
      </c>
    </row>
    <row r="2" spans="1:3">
      <c r="A2">
        <v>1</v>
      </c>
      <c r="B2">
        <v>1</v>
      </c>
      <c r="C2">
        <v>15000</v>
      </c>
    </row>
    <row r="3" spans="1:3">
      <c r="A3">
        <v>1</v>
      </c>
      <c r="B3">
        <v>2</v>
      </c>
      <c r="C3">
        <v>50000</v>
      </c>
    </row>
    <row r="4" spans="1:3">
      <c r="A4">
        <v>1</v>
      </c>
      <c r="B4">
        <v>3</v>
      </c>
      <c r="C4">
        <v>20000</v>
      </c>
    </row>
    <row r="5" spans="1:3">
      <c r="A5">
        <v>1</v>
      </c>
      <c r="B5">
        <v>4</v>
      </c>
      <c r="C5">
        <v>30000</v>
      </c>
    </row>
    <row r="6" spans="1:3">
      <c r="A6">
        <v>1</v>
      </c>
      <c r="B6">
        <v>5</v>
      </c>
      <c r="C6">
        <v>5000</v>
      </c>
    </row>
    <row r="7" spans="1:3">
      <c r="A7">
        <v>1</v>
      </c>
      <c r="B7">
        <v>6</v>
      </c>
      <c r="C7">
        <v>10000</v>
      </c>
    </row>
    <row r="8" spans="1:3">
      <c r="A8">
        <v>1</v>
      </c>
      <c r="B8">
        <v>7</v>
      </c>
      <c r="C8">
        <v>3000</v>
      </c>
    </row>
    <row r="9" spans="1:3">
      <c r="A9">
        <v>1</v>
      </c>
      <c r="B9">
        <v>8</v>
      </c>
      <c r="C9">
        <v>23000</v>
      </c>
    </row>
    <row r="10" spans="1:3">
      <c r="A10">
        <v>2</v>
      </c>
      <c r="B10">
        <v>1</v>
      </c>
      <c r="C10">
        <v>60000</v>
      </c>
    </row>
    <row r="11" spans="1:3">
      <c r="A11">
        <v>2</v>
      </c>
      <c r="B11">
        <v>2</v>
      </c>
      <c r="C11">
        <v>200000</v>
      </c>
    </row>
    <row r="12" spans="1:3">
      <c r="A12">
        <v>2</v>
      </c>
      <c r="B12">
        <v>3</v>
      </c>
      <c r="C12">
        <v>80000</v>
      </c>
    </row>
    <row r="13" spans="1:3">
      <c r="A13">
        <v>2</v>
      </c>
      <c r="B13">
        <v>4</v>
      </c>
      <c r="C13">
        <v>120000</v>
      </c>
    </row>
    <row r="14" spans="1:3">
      <c r="A14">
        <v>2</v>
      </c>
      <c r="B14">
        <v>5</v>
      </c>
      <c r="C14">
        <v>20000</v>
      </c>
    </row>
    <row r="15" spans="1:3">
      <c r="A15">
        <v>2</v>
      </c>
      <c r="B15">
        <v>6</v>
      </c>
      <c r="C15">
        <v>40000</v>
      </c>
    </row>
    <row r="16" spans="1:3">
      <c r="A16">
        <v>2</v>
      </c>
      <c r="B16">
        <v>7</v>
      </c>
      <c r="C16">
        <v>12000</v>
      </c>
    </row>
    <row r="17" spans="1:3">
      <c r="A17">
        <v>2</v>
      </c>
      <c r="B17">
        <v>8</v>
      </c>
      <c r="C17">
        <v>92000</v>
      </c>
    </row>
    <row r="18" spans="1:3">
      <c r="A18">
        <v>3</v>
      </c>
      <c r="B18">
        <v>1</v>
      </c>
      <c r="C18">
        <v>450000</v>
      </c>
    </row>
    <row r="19" spans="1:3">
      <c r="A19">
        <v>3</v>
      </c>
      <c r="B19">
        <v>2</v>
      </c>
      <c r="C19">
        <v>1500000</v>
      </c>
    </row>
    <row r="20" spans="1:3">
      <c r="A20">
        <v>3</v>
      </c>
      <c r="B20">
        <v>3</v>
      </c>
      <c r="C20">
        <v>600000</v>
      </c>
    </row>
    <row r="21" spans="1:3">
      <c r="A21">
        <v>3</v>
      </c>
      <c r="B21">
        <v>4</v>
      </c>
      <c r="C21">
        <v>900000</v>
      </c>
    </row>
    <row r="22" spans="1:3">
      <c r="A22">
        <v>3</v>
      </c>
      <c r="B22">
        <v>5</v>
      </c>
      <c r="C22">
        <v>150000</v>
      </c>
    </row>
    <row r="23" spans="1:3">
      <c r="A23">
        <v>3</v>
      </c>
      <c r="B23">
        <v>6</v>
      </c>
      <c r="C23">
        <v>300000</v>
      </c>
    </row>
    <row r="24" spans="1:3">
      <c r="A24">
        <v>3</v>
      </c>
      <c r="B24">
        <v>7</v>
      </c>
      <c r="C24">
        <v>90000</v>
      </c>
    </row>
    <row r="25" spans="1:3">
      <c r="A25">
        <v>3</v>
      </c>
      <c r="B25">
        <v>8</v>
      </c>
      <c r="C25">
        <v>690000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D215-8F6F-415E-9314-F278B500F4CA}">
  <sheetPr>
    <tabColor rgb="FFFF0000"/>
  </sheetPr>
  <dimension ref="A1:G25"/>
  <sheetViews>
    <sheetView workbookViewId="0">
      <selection activeCell="H11" sqref="H11"/>
    </sheetView>
  </sheetViews>
  <sheetFormatPr defaultRowHeight="15"/>
  <cols>
    <col min="1" max="1" width="24" bestFit="1" customWidth="1"/>
    <col min="2" max="2" width="36.140625" bestFit="1" customWidth="1"/>
    <col min="3" max="3" width="22.7109375" bestFit="1" customWidth="1"/>
  </cols>
  <sheetData>
    <row r="1" spans="1:7">
      <c r="A1" t="s">
        <v>17</v>
      </c>
      <c r="B1" t="s">
        <v>18</v>
      </c>
      <c r="C1" t="s">
        <v>20</v>
      </c>
      <c r="D1" s="11">
        <v>0.9</v>
      </c>
      <c r="E1" s="11">
        <v>1.2</v>
      </c>
      <c r="F1" s="11"/>
      <c r="G1" s="11"/>
    </row>
    <row r="2" spans="1:7">
      <c r="A2">
        <v>1</v>
      </c>
      <c r="B2">
        <v>1</v>
      </c>
      <c r="C2">
        <v>0.34</v>
      </c>
      <c r="D2">
        <f>0.9*C2</f>
        <v>0.30600000000000005</v>
      </c>
      <c r="E2">
        <f>1.2*C2</f>
        <v>0.40800000000000003</v>
      </c>
    </row>
    <row r="3" spans="1:7">
      <c r="A3">
        <v>1</v>
      </c>
      <c r="B3">
        <v>2</v>
      </c>
      <c r="C3">
        <v>0.18</v>
      </c>
      <c r="D3">
        <f t="shared" ref="D3:D25" si="0">0.9*C3</f>
        <v>0.16200000000000001</v>
      </c>
      <c r="E3">
        <f>1.2*C3</f>
        <v>0.216</v>
      </c>
    </row>
    <row r="4" spans="1:7">
      <c r="A4">
        <v>1</v>
      </c>
      <c r="B4">
        <v>3</v>
      </c>
      <c r="C4">
        <v>0.22</v>
      </c>
      <c r="D4">
        <f t="shared" si="0"/>
        <v>0.19800000000000001</v>
      </c>
      <c r="E4">
        <f>1.2*C4</f>
        <v>0.26400000000000001</v>
      </c>
    </row>
    <row r="5" spans="1:7">
      <c r="A5">
        <v>1</v>
      </c>
      <c r="B5">
        <v>4</v>
      </c>
      <c r="C5">
        <v>0.11</v>
      </c>
      <c r="D5">
        <f t="shared" si="0"/>
        <v>9.9000000000000005E-2</v>
      </c>
      <c r="E5">
        <f>1.2*C5</f>
        <v>0.13200000000000001</v>
      </c>
    </row>
    <row r="6" spans="1:7">
      <c r="A6">
        <v>1</v>
      </c>
      <c r="B6">
        <v>5</v>
      </c>
      <c r="C6">
        <v>1</v>
      </c>
      <c r="D6">
        <f t="shared" si="0"/>
        <v>0.9</v>
      </c>
      <c r="E6">
        <v>1</v>
      </c>
    </row>
    <row r="7" spans="1:7">
      <c r="A7">
        <v>1</v>
      </c>
      <c r="B7">
        <v>6</v>
      </c>
      <c r="C7">
        <v>1</v>
      </c>
      <c r="D7">
        <f t="shared" si="0"/>
        <v>0.9</v>
      </c>
      <c r="E7">
        <v>1</v>
      </c>
    </row>
    <row r="8" spans="1:7">
      <c r="A8">
        <v>1</v>
      </c>
      <c r="B8">
        <v>7</v>
      </c>
      <c r="C8">
        <v>1</v>
      </c>
      <c r="D8">
        <f t="shared" si="0"/>
        <v>0.9</v>
      </c>
      <c r="E8">
        <v>1</v>
      </c>
    </row>
    <row r="9" spans="1:7">
      <c r="A9">
        <v>1</v>
      </c>
      <c r="B9">
        <v>8</v>
      </c>
      <c r="C9">
        <v>0.36</v>
      </c>
      <c r="D9">
        <f t="shared" si="0"/>
        <v>0.32400000000000001</v>
      </c>
      <c r="E9">
        <f>1.2*C9</f>
        <v>0.432</v>
      </c>
    </row>
    <row r="10" spans="1:7">
      <c r="A10">
        <v>2</v>
      </c>
      <c r="B10">
        <v>1</v>
      </c>
      <c r="C10">
        <v>0.34</v>
      </c>
      <c r="D10">
        <f t="shared" si="0"/>
        <v>0.30600000000000005</v>
      </c>
      <c r="E10">
        <f>1.2*C10</f>
        <v>0.40800000000000003</v>
      </c>
    </row>
    <row r="11" spans="1:7">
      <c r="A11">
        <v>2</v>
      </c>
      <c r="B11">
        <v>2</v>
      </c>
      <c r="C11">
        <v>0.22</v>
      </c>
      <c r="D11">
        <f t="shared" si="0"/>
        <v>0.19800000000000001</v>
      </c>
      <c r="E11">
        <f>1.2*C11</f>
        <v>0.26400000000000001</v>
      </c>
    </row>
    <row r="12" spans="1:7">
      <c r="A12">
        <v>2</v>
      </c>
      <c r="B12">
        <v>3</v>
      </c>
      <c r="C12">
        <v>0.27</v>
      </c>
      <c r="D12">
        <f t="shared" si="0"/>
        <v>0.24300000000000002</v>
      </c>
      <c r="E12">
        <f>1.2*C12</f>
        <v>0.32400000000000001</v>
      </c>
    </row>
    <row r="13" spans="1:7">
      <c r="A13">
        <v>2</v>
      </c>
      <c r="B13">
        <v>4</v>
      </c>
      <c r="C13">
        <v>0.13</v>
      </c>
      <c r="D13">
        <f t="shared" si="0"/>
        <v>0.11700000000000001</v>
      </c>
      <c r="E13">
        <f>1.2*C13</f>
        <v>0.156</v>
      </c>
    </row>
    <row r="14" spans="1:7">
      <c r="A14">
        <v>2</v>
      </c>
      <c r="B14">
        <v>5</v>
      </c>
      <c r="C14">
        <v>0.84</v>
      </c>
      <c r="D14">
        <f t="shared" si="0"/>
        <v>0.75600000000000001</v>
      </c>
      <c r="E14">
        <v>1</v>
      </c>
    </row>
    <row r="15" spans="1:7">
      <c r="A15">
        <v>2</v>
      </c>
      <c r="B15">
        <v>6</v>
      </c>
      <c r="C15">
        <v>1</v>
      </c>
      <c r="D15">
        <f t="shared" si="0"/>
        <v>0.9</v>
      </c>
      <c r="E15">
        <v>1</v>
      </c>
    </row>
    <row r="16" spans="1:7">
      <c r="A16">
        <v>2</v>
      </c>
      <c r="B16">
        <v>7</v>
      </c>
      <c r="C16">
        <v>1</v>
      </c>
      <c r="D16">
        <f t="shared" si="0"/>
        <v>0.9</v>
      </c>
      <c r="E16">
        <v>1</v>
      </c>
    </row>
    <row r="17" spans="1:5">
      <c r="A17">
        <v>2</v>
      </c>
      <c r="B17">
        <v>8</v>
      </c>
      <c r="C17">
        <v>0.45</v>
      </c>
      <c r="D17">
        <f t="shared" si="0"/>
        <v>0.40500000000000003</v>
      </c>
      <c r="E17">
        <f>1.2*C17</f>
        <v>0.54</v>
      </c>
    </row>
    <row r="18" spans="1:5">
      <c r="A18">
        <v>3</v>
      </c>
      <c r="B18">
        <v>1</v>
      </c>
      <c r="C18">
        <v>0.34</v>
      </c>
      <c r="D18">
        <f t="shared" si="0"/>
        <v>0.30600000000000005</v>
      </c>
      <c r="E18">
        <f>1.2*C18</f>
        <v>0.40800000000000003</v>
      </c>
    </row>
    <row r="19" spans="1:5">
      <c r="A19">
        <v>3</v>
      </c>
      <c r="B19">
        <v>2</v>
      </c>
      <c r="C19">
        <v>0.31</v>
      </c>
      <c r="D19">
        <f t="shared" si="0"/>
        <v>0.27900000000000003</v>
      </c>
      <c r="E19">
        <f>1.2*C19</f>
        <v>0.372</v>
      </c>
    </row>
    <row r="20" spans="1:5">
      <c r="A20">
        <v>3</v>
      </c>
      <c r="B20">
        <v>3</v>
      </c>
      <c r="C20">
        <v>0.38</v>
      </c>
      <c r="D20">
        <f t="shared" si="0"/>
        <v>0.34200000000000003</v>
      </c>
      <c r="E20">
        <f>1.2*C20</f>
        <v>0.45599999999999996</v>
      </c>
    </row>
    <row r="21" spans="1:5">
      <c r="A21">
        <v>3</v>
      </c>
      <c r="B21">
        <v>4</v>
      </c>
      <c r="C21">
        <v>0.19</v>
      </c>
      <c r="D21">
        <f t="shared" si="0"/>
        <v>0.17100000000000001</v>
      </c>
      <c r="E21">
        <f>1.2*C21</f>
        <v>0.22799999999999998</v>
      </c>
    </row>
    <row r="22" spans="1:5">
      <c r="A22">
        <v>3</v>
      </c>
      <c r="B22">
        <v>5</v>
      </c>
      <c r="C22">
        <v>0.59</v>
      </c>
      <c r="D22">
        <f t="shared" si="0"/>
        <v>0.53100000000000003</v>
      </c>
      <c r="E22">
        <f>1.2*C22</f>
        <v>0.70799999999999996</v>
      </c>
    </row>
    <row r="23" spans="1:5">
      <c r="A23">
        <v>3</v>
      </c>
      <c r="B23">
        <v>6</v>
      </c>
      <c r="C23">
        <v>1</v>
      </c>
      <c r="D23">
        <f t="shared" si="0"/>
        <v>0.9</v>
      </c>
      <c r="E23">
        <v>1</v>
      </c>
    </row>
    <row r="24" spans="1:5">
      <c r="A24">
        <v>3</v>
      </c>
      <c r="B24">
        <v>7</v>
      </c>
      <c r="C24">
        <v>0.94</v>
      </c>
      <c r="D24">
        <f t="shared" si="0"/>
        <v>0.84599999999999997</v>
      </c>
      <c r="E24">
        <v>1</v>
      </c>
    </row>
    <row r="25" spans="1:5">
      <c r="A25">
        <v>3</v>
      </c>
      <c r="B25">
        <v>8</v>
      </c>
      <c r="C25">
        <v>0.63</v>
      </c>
      <c r="D25">
        <f t="shared" si="0"/>
        <v>0.56700000000000006</v>
      </c>
      <c r="E25">
        <f>1.2*C25</f>
        <v>0.75600000000000001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4FBD-D1DE-494E-821E-9490558E37B7}">
  <sheetPr>
    <tabColor theme="9" tint="0.39997558519241921"/>
  </sheetPr>
  <dimension ref="A1:I37"/>
  <sheetViews>
    <sheetView workbookViewId="0">
      <selection activeCell="C2" sqref="C2"/>
    </sheetView>
  </sheetViews>
  <sheetFormatPr defaultRowHeight="15"/>
  <cols>
    <col min="2" max="3" width="19.42578125" bestFit="1" customWidth="1"/>
    <col min="9" max="9" width="25" bestFit="1" customWidth="1"/>
  </cols>
  <sheetData>
    <row r="1" spans="1:9">
      <c r="A1" t="s">
        <v>10</v>
      </c>
      <c r="B1" t="s">
        <v>11</v>
      </c>
      <c r="C1" t="s">
        <v>21</v>
      </c>
    </row>
    <row r="2" spans="1:9">
      <c r="A2">
        <v>1</v>
      </c>
      <c r="B2">
        <v>1</v>
      </c>
      <c r="C2">
        <v>561458</v>
      </c>
      <c r="I2" s="7"/>
    </row>
    <row r="3" spans="1:9">
      <c r="A3">
        <v>1</v>
      </c>
      <c r="B3">
        <v>2</v>
      </c>
      <c r="C3">
        <v>583917</v>
      </c>
      <c r="I3" s="8"/>
    </row>
    <row r="4" spans="1:9">
      <c r="A4">
        <v>1</v>
      </c>
      <c r="B4">
        <v>3</v>
      </c>
      <c r="C4">
        <v>606375</v>
      </c>
      <c r="I4" s="8"/>
    </row>
    <row r="5" spans="1:9">
      <c r="A5">
        <v>1</v>
      </c>
      <c r="B5">
        <v>4</v>
      </c>
      <c r="C5">
        <v>628833</v>
      </c>
      <c r="I5" s="8"/>
    </row>
    <row r="6" spans="1:9">
      <c r="A6">
        <v>1</v>
      </c>
      <c r="B6">
        <v>5</v>
      </c>
      <c r="C6">
        <v>651292</v>
      </c>
    </row>
    <row r="7" spans="1:9">
      <c r="A7">
        <v>1</v>
      </c>
      <c r="B7">
        <v>6</v>
      </c>
      <c r="C7">
        <v>673750</v>
      </c>
    </row>
    <row r="8" spans="1:9">
      <c r="A8">
        <v>1</v>
      </c>
      <c r="B8">
        <v>7</v>
      </c>
      <c r="C8">
        <v>696208</v>
      </c>
    </row>
    <row r="9" spans="1:9">
      <c r="A9">
        <v>1</v>
      </c>
      <c r="B9">
        <v>8</v>
      </c>
      <c r="C9">
        <v>718667</v>
      </c>
    </row>
    <row r="10" spans="1:9">
      <c r="A10">
        <v>1</v>
      </c>
      <c r="B10">
        <v>9</v>
      </c>
      <c r="C10">
        <v>741125</v>
      </c>
    </row>
    <row r="11" spans="1:9">
      <c r="A11">
        <v>1</v>
      </c>
      <c r="B11">
        <v>10</v>
      </c>
      <c r="C11">
        <v>763583</v>
      </c>
    </row>
    <row r="12" spans="1:9">
      <c r="A12">
        <v>1</v>
      </c>
      <c r="B12">
        <v>11</v>
      </c>
      <c r="C12">
        <v>786042</v>
      </c>
    </row>
    <row r="13" spans="1:9">
      <c r="A13">
        <v>1</v>
      </c>
      <c r="B13">
        <v>12</v>
      </c>
      <c r="C13">
        <v>808500</v>
      </c>
    </row>
    <row r="14" spans="1:9">
      <c r="A14">
        <v>2</v>
      </c>
      <c r="B14">
        <v>1</v>
      </c>
      <c r="C14">
        <v>561458</v>
      </c>
    </row>
    <row r="15" spans="1:9">
      <c r="A15">
        <v>2</v>
      </c>
      <c r="B15">
        <v>2</v>
      </c>
      <c r="C15">
        <v>583917</v>
      </c>
    </row>
    <row r="16" spans="1:9">
      <c r="A16">
        <v>2</v>
      </c>
      <c r="B16">
        <v>3</v>
      </c>
      <c r="C16">
        <v>606375</v>
      </c>
    </row>
    <row r="17" spans="1:3">
      <c r="A17">
        <v>2</v>
      </c>
      <c r="B17">
        <v>4</v>
      </c>
      <c r="C17">
        <v>628833</v>
      </c>
    </row>
    <row r="18" spans="1:3">
      <c r="A18">
        <v>2</v>
      </c>
      <c r="B18">
        <v>5</v>
      </c>
      <c r="C18">
        <v>651292</v>
      </c>
    </row>
    <row r="19" spans="1:3">
      <c r="A19">
        <v>2</v>
      </c>
      <c r="B19">
        <v>6</v>
      </c>
      <c r="C19">
        <v>673750</v>
      </c>
    </row>
    <row r="20" spans="1:3">
      <c r="A20">
        <v>2</v>
      </c>
      <c r="B20">
        <v>7</v>
      </c>
      <c r="C20">
        <v>696208</v>
      </c>
    </row>
    <row r="21" spans="1:3">
      <c r="A21">
        <v>2</v>
      </c>
      <c r="B21">
        <v>8</v>
      </c>
      <c r="C21">
        <v>718667</v>
      </c>
    </row>
    <row r="22" spans="1:3">
      <c r="A22">
        <v>2</v>
      </c>
      <c r="B22">
        <v>9</v>
      </c>
      <c r="C22">
        <v>741125</v>
      </c>
    </row>
    <row r="23" spans="1:3">
      <c r="A23">
        <v>2</v>
      </c>
      <c r="B23">
        <v>10</v>
      </c>
      <c r="C23">
        <v>763583</v>
      </c>
    </row>
    <row r="24" spans="1:3">
      <c r="A24">
        <v>2</v>
      </c>
      <c r="B24">
        <v>11</v>
      </c>
      <c r="C24">
        <v>786042</v>
      </c>
    </row>
    <row r="25" spans="1:3">
      <c r="A25">
        <v>2</v>
      </c>
      <c r="B25">
        <v>12</v>
      </c>
      <c r="C25">
        <v>808500</v>
      </c>
    </row>
    <row r="26" spans="1:3">
      <c r="A26">
        <v>3</v>
      </c>
      <c r="B26">
        <v>1</v>
      </c>
      <c r="C26">
        <v>561458</v>
      </c>
    </row>
    <row r="27" spans="1:3">
      <c r="A27">
        <v>3</v>
      </c>
      <c r="B27">
        <v>2</v>
      </c>
      <c r="C27">
        <v>583917</v>
      </c>
    </row>
    <row r="28" spans="1:3">
      <c r="A28">
        <v>3</v>
      </c>
      <c r="B28">
        <v>3</v>
      </c>
      <c r="C28">
        <v>606375</v>
      </c>
    </row>
    <row r="29" spans="1:3">
      <c r="A29">
        <v>3</v>
      </c>
      <c r="B29">
        <v>4</v>
      </c>
      <c r="C29">
        <v>628833</v>
      </c>
    </row>
    <row r="30" spans="1:3">
      <c r="A30">
        <v>3</v>
      </c>
      <c r="B30">
        <v>5</v>
      </c>
      <c r="C30">
        <v>651292</v>
      </c>
    </row>
    <row r="31" spans="1:3">
      <c r="A31">
        <v>3</v>
      </c>
      <c r="B31">
        <v>6</v>
      </c>
      <c r="C31">
        <v>673750</v>
      </c>
    </row>
    <row r="32" spans="1:3">
      <c r="A32">
        <v>3</v>
      </c>
      <c r="B32">
        <v>7</v>
      </c>
      <c r="C32">
        <v>696208</v>
      </c>
    </row>
    <row r="33" spans="1:3">
      <c r="A33">
        <v>3</v>
      </c>
      <c r="B33">
        <v>8</v>
      </c>
      <c r="C33">
        <v>718667</v>
      </c>
    </row>
    <row r="34" spans="1:3">
      <c r="A34">
        <v>3</v>
      </c>
      <c r="B34">
        <v>9</v>
      </c>
      <c r="C34">
        <v>741125</v>
      </c>
    </row>
    <row r="35" spans="1:3">
      <c r="A35">
        <v>3</v>
      </c>
      <c r="B35">
        <v>10</v>
      </c>
      <c r="C35">
        <v>763583</v>
      </c>
    </row>
    <row r="36" spans="1:3">
      <c r="A36">
        <v>3</v>
      </c>
      <c r="B36">
        <v>11</v>
      </c>
      <c r="C36">
        <v>786042</v>
      </c>
    </row>
    <row r="37" spans="1:3">
      <c r="A37">
        <v>3</v>
      </c>
      <c r="B37">
        <v>12</v>
      </c>
      <c r="C37">
        <v>808500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4093-B181-4C58-ADC4-294B4F083FB6}">
  <sheetPr>
    <tabColor theme="9" tint="0.39997558519241921"/>
  </sheetPr>
  <dimension ref="A1:B4"/>
  <sheetViews>
    <sheetView workbookViewId="0">
      <selection activeCell="C7" sqref="C7"/>
    </sheetView>
  </sheetViews>
  <sheetFormatPr defaultRowHeight="15"/>
  <cols>
    <col min="1" max="1" width="11" customWidth="1"/>
  </cols>
  <sheetData>
    <row r="1" spans="1:2">
      <c r="A1" t="s">
        <v>22</v>
      </c>
      <c r="B1" t="s">
        <v>23</v>
      </c>
    </row>
    <row r="2" spans="1:2">
      <c r="A2">
        <v>1</v>
      </c>
      <c r="B2">
        <v>30</v>
      </c>
    </row>
    <row r="3" spans="1:2">
      <c r="A3">
        <v>2</v>
      </c>
      <c r="B3">
        <v>25</v>
      </c>
    </row>
    <row r="4" spans="1:2">
      <c r="A4">
        <v>3</v>
      </c>
      <c r="B4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F97E-0CC6-4065-B6E2-26F74ED855DA}">
  <sheetPr>
    <tabColor rgb="FFFF0000"/>
  </sheetPr>
  <dimension ref="A1:J17"/>
  <sheetViews>
    <sheetView tabSelected="1" workbookViewId="0">
      <selection activeCell="H1" sqref="H1:H18"/>
    </sheetView>
  </sheetViews>
  <sheetFormatPr defaultRowHeight="15"/>
  <cols>
    <col min="1" max="1" width="15.5703125" customWidth="1"/>
    <col min="2" max="2" width="21.85546875" customWidth="1"/>
    <col min="3" max="4" width="20.140625" customWidth="1"/>
    <col min="5" max="5" width="12" customWidth="1"/>
  </cols>
  <sheetData>
    <row r="1" spans="1:10">
      <c r="A1" t="s">
        <v>22</v>
      </c>
      <c r="B1" t="s">
        <v>24</v>
      </c>
      <c r="C1" t="s">
        <v>25</v>
      </c>
      <c r="D1" t="s">
        <v>26</v>
      </c>
      <c r="E1" t="s">
        <v>27</v>
      </c>
      <c r="F1" s="11">
        <v>0.85</v>
      </c>
      <c r="G1" s="11">
        <v>1.1499999999999999</v>
      </c>
      <c r="H1" s="11"/>
    </row>
    <row r="2" spans="1:10">
      <c r="A2">
        <v>1</v>
      </c>
      <c r="B2" s="3">
        <v>1</v>
      </c>
      <c r="C2" s="3" t="s">
        <v>28</v>
      </c>
      <c r="D2">
        <v>0.7</v>
      </c>
      <c r="E2">
        <v>7</v>
      </c>
      <c r="F2">
        <f>0.85*E2</f>
        <v>5.95</v>
      </c>
      <c r="G2">
        <f>1.15*E2</f>
        <v>8.0499999999999989</v>
      </c>
    </row>
    <row r="3" spans="1:10" ht="15.75">
      <c r="A3">
        <v>1</v>
      </c>
      <c r="B3" s="3">
        <v>2</v>
      </c>
      <c r="C3" s="3" t="s">
        <v>29</v>
      </c>
      <c r="D3">
        <v>0.7</v>
      </c>
      <c r="E3">
        <v>4.2</v>
      </c>
      <c r="F3">
        <f t="shared" ref="F3:F16" si="0">0.85*E3</f>
        <v>3.57</v>
      </c>
      <c r="G3">
        <f t="shared" ref="G3:G16" si="1">1.15*E3</f>
        <v>4.83</v>
      </c>
      <c r="J3" s="10"/>
    </row>
    <row r="4" spans="1:10">
      <c r="A4">
        <v>1</v>
      </c>
      <c r="B4" s="3">
        <v>3</v>
      </c>
      <c r="C4" s="3" t="s">
        <v>30</v>
      </c>
      <c r="D4">
        <v>0.7</v>
      </c>
      <c r="E4">
        <v>1.4</v>
      </c>
      <c r="F4">
        <f t="shared" si="0"/>
        <v>1.19</v>
      </c>
      <c r="G4">
        <f t="shared" si="1"/>
        <v>1.6099999999999999</v>
      </c>
    </row>
    <row r="5" spans="1:10">
      <c r="A5">
        <v>1</v>
      </c>
      <c r="B5" s="3">
        <v>4</v>
      </c>
      <c r="C5" s="3" t="s">
        <v>30</v>
      </c>
      <c r="D5">
        <v>0.7</v>
      </c>
      <c r="E5">
        <v>1.4</v>
      </c>
      <c r="F5">
        <f t="shared" si="0"/>
        <v>1.19</v>
      </c>
      <c r="G5">
        <f t="shared" si="1"/>
        <v>1.6099999999999999</v>
      </c>
    </row>
    <row r="6" spans="1:10">
      <c r="A6">
        <v>1</v>
      </c>
      <c r="B6" s="3">
        <v>5</v>
      </c>
      <c r="C6" s="3" t="s">
        <v>28</v>
      </c>
      <c r="D6">
        <v>0.7</v>
      </c>
      <c r="E6">
        <v>7</v>
      </c>
      <c r="F6">
        <f t="shared" si="0"/>
        <v>5.95</v>
      </c>
      <c r="G6">
        <f t="shared" si="1"/>
        <v>8.0499999999999989</v>
      </c>
    </row>
    <row r="7" spans="1:10">
      <c r="A7">
        <v>2</v>
      </c>
      <c r="B7" s="3">
        <v>1</v>
      </c>
      <c r="C7" s="3" t="s">
        <v>28</v>
      </c>
      <c r="D7">
        <v>0.9</v>
      </c>
      <c r="E7">
        <v>9</v>
      </c>
      <c r="F7">
        <f t="shared" si="0"/>
        <v>7.6499999999999995</v>
      </c>
      <c r="G7">
        <f t="shared" si="1"/>
        <v>10.35</v>
      </c>
    </row>
    <row r="8" spans="1:10">
      <c r="A8">
        <v>2</v>
      </c>
      <c r="B8" s="3">
        <v>2</v>
      </c>
      <c r="C8" s="3" t="s">
        <v>29</v>
      </c>
      <c r="D8">
        <v>0.9</v>
      </c>
      <c r="E8">
        <v>5.4</v>
      </c>
      <c r="F8">
        <f t="shared" si="0"/>
        <v>4.59</v>
      </c>
      <c r="G8">
        <f t="shared" si="1"/>
        <v>6.21</v>
      </c>
    </row>
    <row r="9" spans="1:10">
      <c r="A9">
        <v>2</v>
      </c>
      <c r="B9" s="3">
        <v>3</v>
      </c>
      <c r="C9" s="3" t="s">
        <v>30</v>
      </c>
      <c r="D9">
        <v>0.9</v>
      </c>
      <c r="E9">
        <v>1.8</v>
      </c>
      <c r="F9">
        <f t="shared" si="0"/>
        <v>1.53</v>
      </c>
      <c r="G9">
        <f t="shared" si="1"/>
        <v>2.0699999999999998</v>
      </c>
    </row>
    <row r="10" spans="1:10">
      <c r="A10">
        <v>2</v>
      </c>
      <c r="B10" s="3">
        <v>4</v>
      </c>
      <c r="C10" s="3" t="s">
        <v>30</v>
      </c>
      <c r="D10">
        <v>0.9</v>
      </c>
      <c r="E10">
        <v>1.8</v>
      </c>
      <c r="F10">
        <f t="shared" si="0"/>
        <v>1.53</v>
      </c>
      <c r="G10">
        <f t="shared" si="1"/>
        <v>2.0699999999999998</v>
      </c>
    </row>
    <row r="11" spans="1:10">
      <c r="A11">
        <v>2</v>
      </c>
      <c r="B11" s="3">
        <v>5</v>
      </c>
      <c r="C11" s="3" t="s">
        <v>28</v>
      </c>
      <c r="D11">
        <v>0.9</v>
      </c>
      <c r="E11">
        <v>9</v>
      </c>
      <c r="F11">
        <f t="shared" si="0"/>
        <v>7.6499999999999995</v>
      </c>
      <c r="G11">
        <f t="shared" si="1"/>
        <v>10.35</v>
      </c>
    </row>
    <row r="12" spans="1:10">
      <c r="A12">
        <v>3</v>
      </c>
      <c r="B12" s="3">
        <v>1</v>
      </c>
      <c r="C12" s="3" t="s">
        <v>28</v>
      </c>
      <c r="D12">
        <v>1</v>
      </c>
      <c r="E12">
        <v>10</v>
      </c>
      <c r="F12">
        <f t="shared" si="0"/>
        <v>8.5</v>
      </c>
      <c r="G12">
        <f t="shared" si="1"/>
        <v>11.5</v>
      </c>
    </row>
    <row r="13" spans="1:10">
      <c r="A13">
        <v>3</v>
      </c>
      <c r="B13" s="3">
        <v>2</v>
      </c>
      <c r="C13" s="3" t="s">
        <v>29</v>
      </c>
      <c r="D13">
        <v>1</v>
      </c>
      <c r="E13">
        <v>6</v>
      </c>
      <c r="F13">
        <f t="shared" si="0"/>
        <v>5.0999999999999996</v>
      </c>
      <c r="G13">
        <f t="shared" si="1"/>
        <v>6.8999999999999995</v>
      </c>
    </row>
    <row r="14" spans="1:10">
      <c r="A14">
        <v>3</v>
      </c>
      <c r="B14" s="3">
        <v>3</v>
      </c>
      <c r="C14" s="3" t="s">
        <v>30</v>
      </c>
      <c r="D14">
        <v>1</v>
      </c>
      <c r="E14">
        <v>2</v>
      </c>
      <c r="F14">
        <f t="shared" si="0"/>
        <v>1.7</v>
      </c>
      <c r="G14">
        <f t="shared" si="1"/>
        <v>2.2999999999999998</v>
      </c>
    </row>
    <row r="15" spans="1:10">
      <c r="A15">
        <v>3</v>
      </c>
      <c r="B15" s="3">
        <v>4</v>
      </c>
      <c r="C15" s="3" t="s">
        <v>30</v>
      </c>
      <c r="D15">
        <v>1</v>
      </c>
      <c r="E15">
        <v>2</v>
      </c>
      <c r="F15">
        <f t="shared" si="0"/>
        <v>1.7</v>
      </c>
      <c r="G15">
        <f t="shared" si="1"/>
        <v>2.2999999999999998</v>
      </c>
    </row>
    <row r="16" spans="1:10">
      <c r="A16">
        <v>3</v>
      </c>
      <c r="B16" s="3">
        <v>5</v>
      </c>
      <c r="C16" s="3" t="s">
        <v>28</v>
      </c>
      <c r="D16">
        <v>1</v>
      </c>
      <c r="E16">
        <v>10</v>
      </c>
      <c r="F16">
        <f t="shared" si="0"/>
        <v>8.5</v>
      </c>
      <c r="G16">
        <f t="shared" si="1"/>
        <v>11.5</v>
      </c>
    </row>
    <row r="17" spans="2:2">
      <c r="B17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B331-30A9-47BD-A2C6-FCAC07D151C9}">
  <sheetPr>
    <tabColor theme="9" tint="0.39997558519241921"/>
  </sheetPr>
  <dimension ref="A1:D181"/>
  <sheetViews>
    <sheetView workbookViewId="0">
      <selection activeCell="D2" sqref="D2"/>
    </sheetView>
  </sheetViews>
  <sheetFormatPr defaultRowHeight="15"/>
  <cols>
    <col min="2" max="2" width="15.28515625" bestFit="1" customWidth="1"/>
    <col min="4" max="4" width="24.28515625" bestFit="1" customWidth="1"/>
  </cols>
  <sheetData>
    <row r="1" spans="1:4">
      <c r="A1" t="s">
        <v>10</v>
      </c>
      <c r="B1" t="s">
        <v>31</v>
      </c>
      <c r="C1" t="s">
        <v>11</v>
      </c>
      <c r="D1" t="s">
        <v>32</v>
      </c>
    </row>
    <row r="2" spans="1:4">
      <c r="A2">
        <v>1</v>
      </c>
      <c r="B2">
        <v>1</v>
      </c>
      <c r="C2">
        <v>1</v>
      </c>
      <c r="D2">
        <v>205740</v>
      </c>
    </row>
    <row r="3" spans="1:4">
      <c r="A3">
        <v>1</v>
      </c>
      <c r="B3">
        <v>1</v>
      </c>
      <c r="C3">
        <v>2</v>
      </c>
      <c r="D3">
        <v>205740</v>
      </c>
    </row>
    <row r="4" spans="1:4">
      <c r="A4">
        <v>1</v>
      </c>
      <c r="B4">
        <v>1</v>
      </c>
      <c r="C4">
        <v>3</v>
      </c>
      <c r="D4">
        <v>342900</v>
      </c>
    </row>
    <row r="5" spans="1:4">
      <c r="A5">
        <v>1</v>
      </c>
      <c r="B5">
        <v>1</v>
      </c>
      <c r="C5">
        <v>4</v>
      </c>
      <c r="D5">
        <v>480060</v>
      </c>
    </row>
    <row r="6" spans="1:4">
      <c r="A6">
        <v>1</v>
      </c>
      <c r="B6">
        <v>1</v>
      </c>
      <c r="C6">
        <v>5</v>
      </c>
      <c r="D6">
        <v>514350</v>
      </c>
    </row>
    <row r="7" spans="1:4">
      <c r="A7">
        <v>1</v>
      </c>
      <c r="B7">
        <v>1</v>
      </c>
      <c r="C7">
        <v>6</v>
      </c>
      <c r="D7">
        <v>514350</v>
      </c>
    </row>
    <row r="8" spans="1:4">
      <c r="A8">
        <v>1</v>
      </c>
      <c r="B8">
        <v>1</v>
      </c>
      <c r="C8">
        <v>7</v>
      </c>
      <c r="D8">
        <v>480060</v>
      </c>
    </row>
    <row r="9" spans="1:4">
      <c r="A9">
        <v>1</v>
      </c>
      <c r="B9">
        <v>1</v>
      </c>
      <c r="C9">
        <v>8</v>
      </c>
      <c r="D9">
        <v>411480</v>
      </c>
    </row>
    <row r="10" spans="1:4">
      <c r="A10">
        <v>1</v>
      </c>
      <c r="B10">
        <v>1</v>
      </c>
      <c r="C10">
        <v>9</v>
      </c>
      <c r="D10">
        <v>342900</v>
      </c>
    </row>
    <row r="11" spans="1:4">
      <c r="A11">
        <v>1</v>
      </c>
      <c r="B11">
        <v>1</v>
      </c>
      <c r="C11">
        <v>10</v>
      </c>
      <c r="D11">
        <v>308610</v>
      </c>
    </row>
    <row r="12" spans="1:4">
      <c r="A12">
        <v>1</v>
      </c>
      <c r="B12">
        <v>1</v>
      </c>
      <c r="C12">
        <v>11</v>
      </c>
      <c r="D12">
        <v>240030</v>
      </c>
    </row>
    <row r="13" spans="1:4">
      <c r="A13">
        <v>1</v>
      </c>
      <c r="B13">
        <v>1</v>
      </c>
      <c r="C13">
        <v>12</v>
      </c>
      <c r="D13">
        <v>205740</v>
      </c>
    </row>
    <row r="14" spans="1:4">
      <c r="A14">
        <v>1</v>
      </c>
      <c r="B14">
        <v>2</v>
      </c>
      <c r="C14">
        <v>1</v>
      </c>
      <c r="D14">
        <v>171450</v>
      </c>
    </row>
    <row r="15" spans="1:4">
      <c r="A15">
        <v>1</v>
      </c>
      <c r="B15">
        <v>2</v>
      </c>
      <c r="C15">
        <v>2</v>
      </c>
      <c r="D15">
        <v>171450</v>
      </c>
    </row>
    <row r="16" spans="1:4">
      <c r="A16">
        <v>1</v>
      </c>
      <c r="B16">
        <v>2</v>
      </c>
      <c r="C16">
        <v>3</v>
      </c>
      <c r="D16">
        <v>285750</v>
      </c>
    </row>
    <row r="17" spans="1:4">
      <c r="A17">
        <v>1</v>
      </c>
      <c r="B17">
        <v>2</v>
      </c>
      <c r="C17">
        <v>4</v>
      </c>
      <c r="D17">
        <v>400050</v>
      </c>
    </row>
    <row r="18" spans="1:4">
      <c r="A18">
        <v>1</v>
      </c>
      <c r="B18">
        <v>2</v>
      </c>
      <c r="C18">
        <v>5</v>
      </c>
      <c r="D18">
        <v>428625</v>
      </c>
    </row>
    <row r="19" spans="1:4">
      <c r="A19">
        <v>1</v>
      </c>
      <c r="B19">
        <v>2</v>
      </c>
      <c r="C19">
        <v>6</v>
      </c>
      <c r="D19">
        <v>428625</v>
      </c>
    </row>
    <row r="20" spans="1:4">
      <c r="A20">
        <v>1</v>
      </c>
      <c r="B20">
        <v>2</v>
      </c>
      <c r="C20">
        <v>7</v>
      </c>
      <c r="D20">
        <v>400050</v>
      </c>
    </row>
    <row r="21" spans="1:4">
      <c r="A21">
        <v>1</v>
      </c>
      <c r="B21">
        <v>2</v>
      </c>
      <c r="C21">
        <v>8</v>
      </c>
      <c r="D21">
        <v>342900</v>
      </c>
    </row>
    <row r="22" spans="1:4">
      <c r="A22">
        <v>1</v>
      </c>
      <c r="B22">
        <v>2</v>
      </c>
      <c r="C22">
        <v>9</v>
      </c>
      <c r="D22">
        <v>285750</v>
      </c>
    </row>
    <row r="23" spans="1:4">
      <c r="A23">
        <v>1</v>
      </c>
      <c r="B23">
        <v>2</v>
      </c>
      <c r="C23">
        <v>10</v>
      </c>
      <c r="D23">
        <v>257175</v>
      </c>
    </row>
    <row r="24" spans="1:4">
      <c r="A24">
        <v>1</v>
      </c>
      <c r="B24">
        <v>2</v>
      </c>
      <c r="C24">
        <v>11</v>
      </c>
      <c r="D24">
        <v>200025</v>
      </c>
    </row>
    <row r="25" spans="1:4">
      <c r="A25">
        <v>1</v>
      </c>
      <c r="B25">
        <v>2</v>
      </c>
      <c r="C25">
        <v>12</v>
      </c>
      <c r="D25">
        <v>171450</v>
      </c>
    </row>
    <row r="26" spans="1:4">
      <c r="A26">
        <v>1</v>
      </c>
      <c r="B26">
        <v>3</v>
      </c>
      <c r="C26">
        <v>1</v>
      </c>
      <c r="D26">
        <v>102870</v>
      </c>
    </row>
    <row r="27" spans="1:4">
      <c r="A27">
        <v>1</v>
      </c>
      <c r="B27">
        <v>3</v>
      </c>
      <c r="C27">
        <v>2</v>
      </c>
      <c r="D27">
        <v>102870</v>
      </c>
    </row>
    <row r="28" spans="1:4">
      <c r="A28">
        <v>1</v>
      </c>
      <c r="B28">
        <v>3</v>
      </c>
      <c r="C28">
        <v>3</v>
      </c>
      <c r="D28">
        <v>171450</v>
      </c>
    </row>
    <row r="29" spans="1:4">
      <c r="A29">
        <v>1</v>
      </c>
      <c r="B29">
        <v>3</v>
      </c>
      <c r="C29">
        <v>4</v>
      </c>
      <c r="D29">
        <v>240030</v>
      </c>
    </row>
    <row r="30" spans="1:4">
      <c r="A30">
        <v>1</v>
      </c>
      <c r="B30">
        <v>3</v>
      </c>
      <c r="C30">
        <v>5</v>
      </c>
      <c r="D30">
        <v>257175</v>
      </c>
    </row>
    <row r="31" spans="1:4">
      <c r="A31">
        <v>1</v>
      </c>
      <c r="B31">
        <v>3</v>
      </c>
      <c r="C31">
        <v>6</v>
      </c>
      <c r="D31">
        <v>257175</v>
      </c>
    </row>
    <row r="32" spans="1:4">
      <c r="A32">
        <v>1</v>
      </c>
      <c r="B32">
        <v>3</v>
      </c>
      <c r="C32">
        <v>7</v>
      </c>
      <c r="D32">
        <v>240030</v>
      </c>
    </row>
    <row r="33" spans="1:4">
      <c r="A33">
        <v>1</v>
      </c>
      <c r="B33">
        <v>3</v>
      </c>
      <c r="C33">
        <v>8</v>
      </c>
      <c r="D33">
        <v>205740</v>
      </c>
    </row>
    <row r="34" spans="1:4">
      <c r="A34">
        <v>1</v>
      </c>
      <c r="B34">
        <v>3</v>
      </c>
      <c r="C34">
        <v>9</v>
      </c>
      <c r="D34">
        <v>171450</v>
      </c>
    </row>
    <row r="35" spans="1:4">
      <c r="A35">
        <v>1</v>
      </c>
      <c r="B35">
        <v>3</v>
      </c>
      <c r="C35">
        <v>10</v>
      </c>
      <c r="D35">
        <v>154305</v>
      </c>
    </row>
    <row r="36" spans="1:4">
      <c r="A36">
        <v>1</v>
      </c>
      <c r="B36">
        <v>3</v>
      </c>
      <c r="C36">
        <v>11</v>
      </c>
      <c r="D36">
        <v>120015</v>
      </c>
    </row>
    <row r="37" spans="1:4">
      <c r="A37">
        <v>1</v>
      </c>
      <c r="B37">
        <v>3</v>
      </c>
      <c r="C37">
        <v>12</v>
      </c>
      <c r="D37">
        <v>102870</v>
      </c>
    </row>
    <row r="38" spans="1:4">
      <c r="A38">
        <v>1</v>
      </c>
      <c r="B38">
        <v>4</v>
      </c>
      <c r="C38">
        <v>1</v>
      </c>
      <c r="D38">
        <v>102870</v>
      </c>
    </row>
    <row r="39" spans="1:4">
      <c r="A39">
        <v>1</v>
      </c>
      <c r="B39">
        <v>4</v>
      </c>
      <c r="C39">
        <v>2</v>
      </c>
      <c r="D39">
        <v>102870</v>
      </c>
    </row>
    <row r="40" spans="1:4">
      <c r="A40">
        <v>1</v>
      </c>
      <c r="B40">
        <v>4</v>
      </c>
      <c r="C40">
        <v>3</v>
      </c>
      <c r="D40">
        <v>171450</v>
      </c>
    </row>
    <row r="41" spans="1:4">
      <c r="A41">
        <v>1</v>
      </c>
      <c r="B41">
        <v>4</v>
      </c>
      <c r="C41">
        <v>4</v>
      </c>
      <c r="D41">
        <v>240030</v>
      </c>
    </row>
    <row r="42" spans="1:4">
      <c r="A42">
        <v>1</v>
      </c>
      <c r="B42">
        <v>4</v>
      </c>
      <c r="C42">
        <v>5</v>
      </c>
      <c r="D42">
        <v>257175</v>
      </c>
    </row>
    <row r="43" spans="1:4">
      <c r="A43">
        <v>1</v>
      </c>
      <c r="B43">
        <v>4</v>
      </c>
      <c r="C43">
        <v>6</v>
      </c>
      <c r="D43">
        <v>257175</v>
      </c>
    </row>
    <row r="44" spans="1:4">
      <c r="A44">
        <v>1</v>
      </c>
      <c r="B44">
        <v>4</v>
      </c>
      <c r="C44">
        <v>7</v>
      </c>
      <c r="D44">
        <v>240030</v>
      </c>
    </row>
    <row r="45" spans="1:4">
      <c r="A45">
        <v>1</v>
      </c>
      <c r="B45">
        <v>4</v>
      </c>
      <c r="C45">
        <v>8</v>
      </c>
      <c r="D45">
        <v>205740</v>
      </c>
    </row>
    <row r="46" spans="1:4">
      <c r="A46">
        <v>1</v>
      </c>
      <c r="B46">
        <v>4</v>
      </c>
      <c r="C46">
        <v>9</v>
      </c>
      <c r="D46">
        <v>171450</v>
      </c>
    </row>
    <row r="47" spans="1:4">
      <c r="A47">
        <v>1</v>
      </c>
      <c r="B47">
        <v>4</v>
      </c>
      <c r="C47">
        <v>10</v>
      </c>
      <c r="D47">
        <v>154305</v>
      </c>
    </row>
    <row r="48" spans="1:4">
      <c r="A48">
        <v>1</v>
      </c>
      <c r="B48">
        <v>4</v>
      </c>
      <c r="C48">
        <v>11</v>
      </c>
      <c r="D48">
        <v>120015</v>
      </c>
    </row>
    <row r="49" spans="1:4">
      <c r="A49">
        <v>1</v>
      </c>
      <c r="B49">
        <v>4</v>
      </c>
      <c r="C49">
        <v>12</v>
      </c>
      <c r="D49">
        <v>102870</v>
      </c>
    </row>
    <row r="50" spans="1:4">
      <c r="A50">
        <v>1</v>
      </c>
      <c r="B50">
        <v>5</v>
      </c>
      <c r="C50">
        <v>1</v>
      </c>
      <c r="D50">
        <v>102870</v>
      </c>
    </row>
    <row r="51" spans="1:4">
      <c r="A51">
        <v>1</v>
      </c>
      <c r="B51">
        <v>5</v>
      </c>
      <c r="C51">
        <v>2</v>
      </c>
      <c r="D51">
        <v>102871</v>
      </c>
    </row>
    <row r="52" spans="1:4">
      <c r="A52">
        <v>1</v>
      </c>
      <c r="B52">
        <v>5</v>
      </c>
      <c r="C52">
        <v>3</v>
      </c>
      <c r="D52">
        <v>171450</v>
      </c>
    </row>
    <row r="53" spans="1:4">
      <c r="A53">
        <v>1</v>
      </c>
      <c r="B53">
        <v>5</v>
      </c>
      <c r="C53">
        <v>4</v>
      </c>
      <c r="D53">
        <v>240030</v>
      </c>
    </row>
    <row r="54" spans="1:4">
      <c r="A54">
        <v>1</v>
      </c>
      <c r="B54">
        <v>5</v>
      </c>
      <c r="C54">
        <v>5</v>
      </c>
      <c r="D54">
        <v>275175</v>
      </c>
    </row>
    <row r="55" spans="1:4">
      <c r="A55">
        <v>1</v>
      </c>
      <c r="B55">
        <v>5</v>
      </c>
      <c r="C55">
        <v>6</v>
      </c>
      <c r="D55">
        <v>275176</v>
      </c>
    </row>
    <row r="56" spans="1:4">
      <c r="A56">
        <v>1</v>
      </c>
      <c r="B56">
        <v>5</v>
      </c>
      <c r="C56">
        <v>7</v>
      </c>
      <c r="D56">
        <v>240030</v>
      </c>
    </row>
    <row r="57" spans="1:4">
      <c r="A57">
        <v>1</v>
      </c>
      <c r="B57">
        <v>5</v>
      </c>
      <c r="C57">
        <v>8</v>
      </c>
      <c r="D57">
        <v>205740</v>
      </c>
    </row>
    <row r="58" spans="1:4">
      <c r="A58">
        <v>1</v>
      </c>
      <c r="B58">
        <v>5</v>
      </c>
      <c r="C58">
        <v>9</v>
      </c>
      <c r="D58">
        <v>171450</v>
      </c>
    </row>
    <row r="59" spans="1:4">
      <c r="A59">
        <v>1</v>
      </c>
      <c r="B59">
        <v>5</v>
      </c>
      <c r="C59">
        <v>10</v>
      </c>
      <c r="D59">
        <v>154305</v>
      </c>
    </row>
    <row r="60" spans="1:4">
      <c r="A60">
        <v>1</v>
      </c>
      <c r="B60">
        <v>5</v>
      </c>
      <c r="C60">
        <v>11</v>
      </c>
      <c r="D60">
        <v>120015</v>
      </c>
    </row>
    <row r="61" spans="1:4">
      <c r="A61">
        <v>1</v>
      </c>
      <c r="B61">
        <v>5</v>
      </c>
      <c r="C61">
        <v>12</v>
      </c>
      <c r="D61">
        <v>102870</v>
      </c>
    </row>
    <row r="62" spans="1:4">
      <c r="A62">
        <v>2</v>
      </c>
      <c r="B62">
        <v>1</v>
      </c>
      <c r="C62">
        <v>1</v>
      </c>
      <c r="D62">
        <v>482130</v>
      </c>
    </row>
    <row r="63" spans="1:4">
      <c r="A63">
        <v>2</v>
      </c>
      <c r="B63">
        <v>1</v>
      </c>
      <c r="C63">
        <v>2</v>
      </c>
      <c r="D63">
        <v>482130</v>
      </c>
    </row>
    <row r="64" spans="1:4">
      <c r="A64">
        <v>2</v>
      </c>
      <c r="B64">
        <v>1</v>
      </c>
      <c r="C64">
        <v>3</v>
      </c>
      <c r="D64">
        <v>803550</v>
      </c>
    </row>
    <row r="65" spans="1:4">
      <c r="A65">
        <v>2</v>
      </c>
      <c r="B65">
        <v>1</v>
      </c>
      <c r="C65">
        <v>4</v>
      </c>
      <c r="D65">
        <v>1124970</v>
      </c>
    </row>
    <row r="66" spans="1:4">
      <c r="A66">
        <v>2</v>
      </c>
      <c r="B66">
        <v>1</v>
      </c>
      <c r="C66">
        <v>5</v>
      </c>
      <c r="D66">
        <v>1205325</v>
      </c>
    </row>
    <row r="67" spans="1:4">
      <c r="A67">
        <v>2</v>
      </c>
      <c r="B67">
        <v>1</v>
      </c>
      <c r="C67">
        <v>6</v>
      </c>
      <c r="D67">
        <v>1205325</v>
      </c>
    </row>
    <row r="68" spans="1:4">
      <c r="A68">
        <v>2</v>
      </c>
      <c r="B68">
        <v>1</v>
      </c>
      <c r="C68">
        <v>7</v>
      </c>
      <c r="D68">
        <v>1124970</v>
      </c>
    </row>
    <row r="69" spans="1:4">
      <c r="A69">
        <v>2</v>
      </c>
      <c r="B69">
        <v>1</v>
      </c>
      <c r="C69">
        <v>8</v>
      </c>
      <c r="D69">
        <v>964260</v>
      </c>
    </row>
    <row r="70" spans="1:4">
      <c r="A70">
        <v>2</v>
      </c>
      <c r="B70">
        <v>1</v>
      </c>
      <c r="C70">
        <v>9</v>
      </c>
      <c r="D70">
        <v>803550</v>
      </c>
    </row>
    <row r="71" spans="1:4">
      <c r="A71">
        <v>2</v>
      </c>
      <c r="B71">
        <v>1</v>
      </c>
      <c r="C71">
        <v>10</v>
      </c>
      <c r="D71">
        <v>723195</v>
      </c>
    </row>
    <row r="72" spans="1:4">
      <c r="A72">
        <v>2</v>
      </c>
      <c r="B72">
        <v>1</v>
      </c>
      <c r="C72">
        <v>11</v>
      </c>
      <c r="D72">
        <v>562485</v>
      </c>
    </row>
    <row r="73" spans="1:4">
      <c r="A73">
        <v>2</v>
      </c>
      <c r="B73">
        <v>1</v>
      </c>
      <c r="C73">
        <v>12</v>
      </c>
      <c r="D73">
        <v>482130</v>
      </c>
    </row>
    <row r="74" spans="1:4">
      <c r="A74">
        <v>2</v>
      </c>
      <c r="B74">
        <v>2</v>
      </c>
      <c r="C74">
        <v>1</v>
      </c>
      <c r="D74">
        <v>401775</v>
      </c>
    </row>
    <row r="75" spans="1:4">
      <c r="A75">
        <v>2</v>
      </c>
      <c r="B75">
        <v>2</v>
      </c>
      <c r="C75">
        <v>2</v>
      </c>
      <c r="D75">
        <v>401775</v>
      </c>
    </row>
    <row r="76" spans="1:4">
      <c r="A76">
        <v>2</v>
      </c>
      <c r="B76">
        <v>2</v>
      </c>
      <c r="C76">
        <v>3</v>
      </c>
      <c r="D76">
        <v>669625</v>
      </c>
    </row>
    <row r="77" spans="1:4">
      <c r="A77">
        <v>2</v>
      </c>
      <c r="B77">
        <v>2</v>
      </c>
      <c r="C77">
        <v>4</v>
      </c>
      <c r="D77">
        <v>937475</v>
      </c>
    </row>
    <row r="78" spans="1:4">
      <c r="A78">
        <v>2</v>
      </c>
      <c r="B78">
        <v>2</v>
      </c>
      <c r="C78">
        <v>5</v>
      </c>
      <c r="D78">
        <v>1004438</v>
      </c>
    </row>
    <row r="79" spans="1:4">
      <c r="A79">
        <v>2</v>
      </c>
      <c r="B79">
        <v>2</v>
      </c>
      <c r="C79">
        <v>6</v>
      </c>
      <c r="D79">
        <v>1004438</v>
      </c>
    </row>
    <row r="80" spans="1:4">
      <c r="A80">
        <v>2</v>
      </c>
      <c r="B80">
        <v>2</v>
      </c>
      <c r="C80">
        <v>7</v>
      </c>
      <c r="D80">
        <v>937475</v>
      </c>
    </row>
    <row r="81" spans="1:4">
      <c r="A81">
        <v>2</v>
      </c>
      <c r="B81">
        <v>2</v>
      </c>
      <c r="C81">
        <v>8</v>
      </c>
      <c r="D81">
        <v>803550</v>
      </c>
    </row>
    <row r="82" spans="1:4">
      <c r="A82">
        <v>2</v>
      </c>
      <c r="B82">
        <v>2</v>
      </c>
      <c r="C82">
        <v>9</v>
      </c>
      <c r="D82">
        <v>669625</v>
      </c>
    </row>
    <row r="83" spans="1:4">
      <c r="A83">
        <v>2</v>
      </c>
      <c r="B83">
        <v>2</v>
      </c>
      <c r="C83">
        <v>10</v>
      </c>
      <c r="D83">
        <v>602663</v>
      </c>
    </row>
    <row r="84" spans="1:4">
      <c r="A84">
        <v>2</v>
      </c>
      <c r="B84">
        <v>2</v>
      </c>
      <c r="C84">
        <v>11</v>
      </c>
      <c r="D84">
        <v>468738</v>
      </c>
    </row>
    <row r="85" spans="1:4">
      <c r="A85">
        <v>2</v>
      </c>
      <c r="B85">
        <v>2</v>
      </c>
      <c r="C85">
        <v>12</v>
      </c>
      <c r="D85">
        <v>401775</v>
      </c>
    </row>
    <row r="86" spans="1:4">
      <c r="A86">
        <v>2</v>
      </c>
      <c r="B86">
        <v>3</v>
      </c>
      <c r="C86">
        <v>1</v>
      </c>
      <c r="D86">
        <v>241065</v>
      </c>
    </row>
    <row r="87" spans="1:4">
      <c r="A87">
        <v>2</v>
      </c>
      <c r="B87">
        <v>3</v>
      </c>
      <c r="C87">
        <v>2</v>
      </c>
      <c r="D87">
        <v>241065</v>
      </c>
    </row>
    <row r="88" spans="1:4">
      <c r="A88">
        <v>2</v>
      </c>
      <c r="B88">
        <v>3</v>
      </c>
      <c r="C88">
        <v>3</v>
      </c>
      <c r="D88">
        <v>401775</v>
      </c>
    </row>
    <row r="89" spans="1:4">
      <c r="A89">
        <v>2</v>
      </c>
      <c r="B89">
        <v>3</v>
      </c>
      <c r="C89">
        <v>4</v>
      </c>
      <c r="D89">
        <v>562485</v>
      </c>
    </row>
    <row r="90" spans="1:4">
      <c r="A90">
        <v>2</v>
      </c>
      <c r="B90">
        <v>3</v>
      </c>
      <c r="C90">
        <v>5</v>
      </c>
      <c r="D90">
        <v>602663</v>
      </c>
    </row>
    <row r="91" spans="1:4">
      <c r="A91">
        <v>2</v>
      </c>
      <c r="B91">
        <v>3</v>
      </c>
      <c r="C91">
        <v>6</v>
      </c>
      <c r="D91">
        <v>602663</v>
      </c>
    </row>
    <row r="92" spans="1:4">
      <c r="A92">
        <v>2</v>
      </c>
      <c r="B92">
        <v>3</v>
      </c>
      <c r="C92">
        <v>7</v>
      </c>
      <c r="D92">
        <v>562485</v>
      </c>
    </row>
    <row r="93" spans="1:4">
      <c r="A93">
        <v>2</v>
      </c>
      <c r="B93">
        <v>3</v>
      </c>
      <c r="C93">
        <v>8</v>
      </c>
      <c r="D93">
        <v>482130</v>
      </c>
    </row>
    <row r="94" spans="1:4">
      <c r="A94">
        <v>2</v>
      </c>
      <c r="B94">
        <v>3</v>
      </c>
      <c r="C94">
        <v>9</v>
      </c>
      <c r="D94">
        <v>401775</v>
      </c>
    </row>
    <row r="95" spans="1:4">
      <c r="A95">
        <v>2</v>
      </c>
      <c r="B95">
        <v>3</v>
      </c>
      <c r="C95">
        <v>10</v>
      </c>
      <c r="D95">
        <v>361598</v>
      </c>
    </row>
    <row r="96" spans="1:4">
      <c r="A96">
        <v>2</v>
      </c>
      <c r="B96">
        <v>3</v>
      </c>
      <c r="C96">
        <v>11</v>
      </c>
      <c r="D96">
        <v>281243</v>
      </c>
    </row>
    <row r="97" spans="1:4">
      <c r="A97">
        <v>2</v>
      </c>
      <c r="B97">
        <v>3</v>
      </c>
      <c r="C97">
        <v>12</v>
      </c>
      <c r="D97">
        <v>241065</v>
      </c>
    </row>
    <row r="98" spans="1:4">
      <c r="A98">
        <v>2</v>
      </c>
      <c r="B98">
        <v>4</v>
      </c>
      <c r="C98">
        <v>1</v>
      </c>
      <c r="D98">
        <v>241065</v>
      </c>
    </row>
    <row r="99" spans="1:4">
      <c r="A99">
        <v>2</v>
      </c>
      <c r="B99">
        <v>4</v>
      </c>
      <c r="C99">
        <v>2</v>
      </c>
      <c r="D99">
        <v>241065</v>
      </c>
    </row>
    <row r="100" spans="1:4">
      <c r="A100">
        <v>2</v>
      </c>
      <c r="B100">
        <v>4</v>
      </c>
      <c r="C100">
        <v>3</v>
      </c>
      <c r="D100">
        <v>401775</v>
      </c>
    </row>
    <row r="101" spans="1:4">
      <c r="A101">
        <v>2</v>
      </c>
      <c r="B101">
        <v>4</v>
      </c>
      <c r="C101">
        <v>4</v>
      </c>
      <c r="D101">
        <v>562485</v>
      </c>
    </row>
    <row r="102" spans="1:4">
      <c r="A102">
        <v>2</v>
      </c>
      <c r="B102">
        <v>4</v>
      </c>
      <c r="C102">
        <v>5</v>
      </c>
      <c r="D102">
        <v>602663</v>
      </c>
    </row>
    <row r="103" spans="1:4">
      <c r="A103">
        <v>2</v>
      </c>
      <c r="B103">
        <v>4</v>
      </c>
      <c r="C103">
        <v>6</v>
      </c>
      <c r="D103">
        <v>602663</v>
      </c>
    </row>
    <row r="104" spans="1:4">
      <c r="A104">
        <v>2</v>
      </c>
      <c r="B104">
        <v>4</v>
      </c>
      <c r="C104">
        <v>7</v>
      </c>
      <c r="D104">
        <v>562485</v>
      </c>
    </row>
    <row r="105" spans="1:4">
      <c r="A105">
        <v>2</v>
      </c>
      <c r="B105">
        <v>4</v>
      </c>
      <c r="C105">
        <v>8</v>
      </c>
      <c r="D105">
        <v>482130</v>
      </c>
    </row>
    <row r="106" spans="1:4">
      <c r="A106">
        <v>2</v>
      </c>
      <c r="B106">
        <v>4</v>
      </c>
      <c r="C106">
        <v>9</v>
      </c>
      <c r="D106">
        <v>401775</v>
      </c>
    </row>
    <row r="107" spans="1:4">
      <c r="A107">
        <v>2</v>
      </c>
      <c r="B107">
        <v>4</v>
      </c>
      <c r="C107">
        <v>10</v>
      </c>
      <c r="D107">
        <v>361598</v>
      </c>
    </row>
    <row r="108" spans="1:4">
      <c r="A108">
        <v>2</v>
      </c>
      <c r="B108">
        <v>4</v>
      </c>
      <c r="C108">
        <v>11</v>
      </c>
      <c r="D108">
        <v>281243</v>
      </c>
    </row>
    <row r="109" spans="1:4">
      <c r="A109">
        <v>2</v>
      </c>
      <c r="B109">
        <v>4</v>
      </c>
      <c r="C109">
        <v>12</v>
      </c>
      <c r="D109">
        <v>241065</v>
      </c>
    </row>
    <row r="110" spans="1:4">
      <c r="A110">
        <v>2</v>
      </c>
      <c r="B110">
        <v>5</v>
      </c>
      <c r="C110">
        <v>1</v>
      </c>
      <c r="D110">
        <v>241065</v>
      </c>
    </row>
    <row r="111" spans="1:4">
      <c r="A111">
        <v>2</v>
      </c>
      <c r="B111">
        <v>5</v>
      </c>
      <c r="C111">
        <v>2</v>
      </c>
      <c r="D111">
        <v>241065</v>
      </c>
    </row>
    <row r="112" spans="1:4">
      <c r="A112">
        <v>2</v>
      </c>
      <c r="B112">
        <v>5</v>
      </c>
      <c r="C112">
        <v>3</v>
      </c>
      <c r="D112">
        <v>401775</v>
      </c>
    </row>
    <row r="113" spans="1:4">
      <c r="A113">
        <v>2</v>
      </c>
      <c r="B113">
        <v>5</v>
      </c>
      <c r="C113">
        <v>4</v>
      </c>
      <c r="D113">
        <v>562485</v>
      </c>
    </row>
    <row r="114" spans="1:4">
      <c r="A114">
        <v>2</v>
      </c>
      <c r="B114">
        <v>5</v>
      </c>
      <c r="C114">
        <v>5</v>
      </c>
      <c r="D114">
        <v>602663</v>
      </c>
    </row>
    <row r="115" spans="1:4">
      <c r="A115">
        <v>2</v>
      </c>
      <c r="B115">
        <v>5</v>
      </c>
      <c r="C115">
        <v>6</v>
      </c>
      <c r="D115">
        <v>602663</v>
      </c>
    </row>
    <row r="116" spans="1:4">
      <c r="A116">
        <v>2</v>
      </c>
      <c r="B116">
        <v>5</v>
      </c>
      <c r="C116">
        <v>7</v>
      </c>
      <c r="D116">
        <v>562485</v>
      </c>
    </row>
    <row r="117" spans="1:4">
      <c r="A117">
        <v>2</v>
      </c>
      <c r="B117">
        <v>5</v>
      </c>
      <c r="C117">
        <v>8</v>
      </c>
      <c r="D117">
        <v>482130</v>
      </c>
    </row>
    <row r="118" spans="1:4">
      <c r="A118">
        <v>2</v>
      </c>
      <c r="B118">
        <v>5</v>
      </c>
      <c r="C118">
        <v>9</v>
      </c>
      <c r="D118">
        <v>401775</v>
      </c>
    </row>
    <row r="119" spans="1:4">
      <c r="A119">
        <v>2</v>
      </c>
      <c r="B119">
        <v>5</v>
      </c>
      <c r="C119">
        <v>10</v>
      </c>
      <c r="D119">
        <v>361598</v>
      </c>
    </row>
    <row r="120" spans="1:4">
      <c r="A120">
        <v>2</v>
      </c>
      <c r="B120">
        <v>5</v>
      </c>
      <c r="C120">
        <v>11</v>
      </c>
      <c r="D120">
        <v>281243</v>
      </c>
    </row>
    <row r="121" spans="1:4">
      <c r="A121">
        <v>2</v>
      </c>
      <c r="B121">
        <v>5</v>
      </c>
      <c r="C121">
        <v>12</v>
      </c>
      <c r="D121">
        <v>241065</v>
      </c>
    </row>
    <row r="122" spans="1:4">
      <c r="A122">
        <v>3</v>
      </c>
      <c r="B122">
        <v>1</v>
      </c>
      <c r="C122">
        <v>1</v>
      </c>
      <c r="D122">
        <v>212130</v>
      </c>
    </row>
    <row r="123" spans="1:4">
      <c r="A123">
        <v>3</v>
      </c>
      <c r="B123">
        <v>1</v>
      </c>
      <c r="C123">
        <v>2</v>
      </c>
      <c r="D123">
        <v>212130</v>
      </c>
    </row>
    <row r="124" spans="1:4">
      <c r="A124">
        <v>3</v>
      </c>
      <c r="B124">
        <v>1</v>
      </c>
      <c r="C124">
        <v>3</v>
      </c>
      <c r="D124">
        <v>353550</v>
      </c>
    </row>
    <row r="125" spans="1:4">
      <c r="A125">
        <v>3</v>
      </c>
      <c r="B125">
        <v>1</v>
      </c>
      <c r="C125">
        <v>4</v>
      </c>
      <c r="D125">
        <v>494970</v>
      </c>
    </row>
    <row r="126" spans="1:4">
      <c r="A126">
        <v>3</v>
      </c>
      <c r="B126">
        <v>1</v>
      </c>
      <c r="C126">
        <v>5</v>
      </c>
      <c r="D126">
        <v>530325</v>
      </c>
    </row>
    <row r="127" spans="1:4">
      <c r="A127">
        <v>3</v>
      </c>
      <c r="B127">
        <v>1</v>
      </c>
      <c r="C127">
        <v>6</v>
      </c>
      <c r="D127">
        <v>530325</v>
      </c>
    </row>
    <row r="128" spans="1:4">
      <c r="A128">
        <v>3</v>
      </c>
      <c r="B128">
        <v>1</v>
      </c>
      <c r="C128">
        <v>7</v>
      </c>
      <c r="D128">
        <v>494970</v>
      </c>
    </row>
    <row r="129" spans="1:4">
      <c r="A129">
        <v>3</v>
      </c>
      <c r="B129">
        <v>1</v>
      </c>
      <c r="C129">
        <v>8</v>
      </c>
      <c r="D129">
        <v>424260</v>
      </c>
    </row>
    <row r="130" spans="1:4">
      <c r="A130">
        <v>3</v>
      </c>
      <c r="B130">
        <v>1</v>
      </c>
      <c r="C130">
        <v>9</v>
      </c>
      <c r="D130">
        <v>353550</v>
      </c>
    </row>
    <row r="131" spans="1:4">
      <c r="A131">
        <v>3</v>
      </c>
      <c r="B131">
        <v>1</v>
      </c>
      <c r="C131">
        <v>10</v>
      </c>
      <c r="D131">
        <v>318195</v>
      </c>
    </row>
    <row r="132" spans="1:4">
      <c r="A132">
        <v>3</v>
      </c>
      <c r="B132">
        <v>1</v>
      </c>
      <c r="C132">
        <v>11</v>
      </c>
      <c r="D132">
        <v>247485</v>
      </c>
    </row>
    <row r="133" spans="1:4">
      <c r="A133">
        <v>3</v>
      </c>
      <c r="B133">
        <v>1</v>
      </c>
      <c r="C133">
        <v>12</v>
      </c>
      <c r="D133">
        <v>212130</v>
      </c>
    </row>
    <row r="134" spans="1:4">
      <c r="A134">
        <v>3</v>
      </c>
      <c r="B134">
        <v>2</v>
      </c>
      <c r="C134">
        <v>1</v>
      </c>
      <c r="D134">
        <v>176775</v>
      </c>
    </row>
    <row r="135" spans="1:4">
      <c r="A135">
        <v>3</v>
      </c>
      <c r="B135">
        <v>2</v>
      </c>
      <c r="C135">
        <v>2</v>
      </c>
      <c r="D135">
        <v>176775</v>
      </c>
    </row>
    <row r="136" spans="1:4">
      <c r="A136">
        <v>3</v>
      </c>
      <c r="B136">
        <v>2</v>
      </c>
      <c r="C136">
        <v>3</v>
      </c>
      <c r="D136">
        <v>294625</v>
      </c>
    </row>
    <row r="137" spans="1:4">
      <c r="A137">
        <v>3</v>
      </c>
      <c r="B137">
        <v>2</v>
      </c>
      <c r="C137">
        <v>4</v>
      </c>
      <c r="D137">
        <v>412475</v>
      </c>
    </row>
    <row r="138" spans="1:4">
      <c r="A138">
        <v>3</v>
      </c>
      <c r="B138">
        <v>2</v>
      </c>
      <c r="C138">
        <v>5</v>
      </c>
      <c r="D138">
        <v>441938</v>
      </c>
    </row>
    <row r="139" spans="1:4">
      <c r="A139">
        <v>3</v>
      </c>
      <c r="B139">
        <v>2</v>
      </c>
      <c r="C139">
        <v>6</v>
      </c>
      <c r="D139">
        <v>441938</v>
      </c>
    </row>
    <row r="140" spans="1:4">
      <c r="A140">
        <v>3</v>
      </c>
      <c r="B140">
        <v>2</v>
      </c>
      <c r="C140">
        <v>7</v>
      </c>
      <c r="D140">
        <v>412475</v>
      </c>
    </row>
    <row r="141" spans="1:4">
      <c r="A141">
        <v>3</v>
      </c>
      <c r="B141">
        <v>2</v>
      </c>
      <c r="C141">
        <v>8</v>
      </c>
      <c r="D141">
        <v>353550</v>
      </c>
    </row>
    <row r="142" spans="1:4">
      <c r="A142">
        <v>3</v>
      </c>
      <c r="B142">
        <v>2</v>
      </c>
      <c r="C142">
        <v>9</v>
      </c>
      <c r="D142">
        <v>294625</v>
      </c>
    </row>
    <row r="143" spans="1:4">
      <c r="A143">
        <v>3</v>
      </c>
      <c r="B143">
        <v>2</v>
      </c>
      <c r="C143">
        <v>10</v>
      </c>
      <c r="D143">
        <v>265163</v>
      </c>
    </row>
    <row r="144" spans="1:4">
      <c r="A144">
        <v>3</v>
      </c>
      <c r="B144">
        <v>2</v>
      </c>
      <c r="C144">
        <v>11</v>
      </c>
      <c r="D144">
        <v>206238</v>
      </c>
    </row>
    <row r="145" spans="1:4">
      <c r="A145">
        <v>3</v>
      </c>
      <c r="B145">
        <v>2</v>
      </c>
      <c r="C145">
        <v>12</v>
      </c>
      <c r="D145">
        <v>176775</v>
      </c>
    </row>
    <row r="146" spans="1:4">
      <c r="A146">
        <v>3</v>
      </c>
      <c r="B146">
        <v>3</v>
      </c>
      <c r="C146">
        <v>1</v>
      </c>
      <c r="D146">
        <v>106065</v>
      </c>
    </row>
    <row r="147" spans="1:4">
      <c r="A147">
        <v>3</v>
      </c>
      <c r="B147">
        <v>3</v>
      </c>
      <c r="C147">
        <v>2</v>
      </c>
      <c r="D147">
        <v>106065</v>
      </c>
    </row>
    <row r="148" spans="1:4">
      <c r="A148">
        <v>3</v>
      </c>
      <c r="B148">
        <v>3</v>
      </c>
      <c r="C148">
        <v>3</v>
      </c>
      <c r="D148">
        <v>176775</v>
      </c>
    </row>
    <row r="149" spans="1:4">
      <c r="A149">
        <v>3</v>
      </c>
      <c r="B149">
        <v>3</v>
      </c>
      <c r="C149">
        <v>4</v>
      </c>
      <c r="D149">
        <v>247485</v>
      </c>
    </row>
    <row r="150" spans="1:4">
      <c r="A150">
        <v>3</v>
      </c>
      <c r="B150">
        <v>3</v>
      </c>
      <c r="C150">
        <v>5</v>
      </c>
      <c r="D150">
        <v>265163</v>
      </c>
    </row>
    <row r="151" spans="1:4">
      <c r="A151">
        <v>3</v>
      </c>
      <c r="B151">
        <v>3</v>
      </c>
      <c r="C151">
        <v>6</v>
      </c>
      <c r="D151">
        <v>265163</v>
      </c>
    </row>
    <row r="152" spans="1:4">
      <c r="A152">
        <v>3</v>
      </c>
      <c r="B152">
        <v>3</v>
      </c>
      <c r="C152">
        <v>7</v>
      </c>
      <c r="D152">
        <v>247485</v>
      </c>
    </row>
    <row r="153" spans="1:4">
      <c r="A153">
        <v>3</v>
      </c>
      <c r="B153">
        <v>3</v>
      </c>
      <c r="C153">
        <v>8</v>
      </c>
      <c r="D153">
        <v>212130</v>
      </c>
    </row>
    <row r="154" spans="1:4">
      <c r="A154">
        <v>3</v>
      </c>
      <c r="B154">
        <v>3</v>
      </c>
      <c r="C154">
        <v>9</v>
      </c>
      <c r="D154">
        <v>176775</v>
      </c>
    </row>
    <row r="155" spans="1:4">
      <c r="A155">
        <v>3</v>
      </c>
      <c r="B155">
        <v>3</v>
      </c>
      <c r="C155">
        <v>10</v>
      </c>
      <c r="D155">
        <v>159098</v>
      </c>
    </row>
    <row r="156" spans="1:4">
      <c r="A156">
        <v>3</v>
      </c>
      <c r="B156">
        <v>3</v>
      </c>
      <c r="C156">
        <v>11</v>
      </c>
      <c r="D156">
        <v>123743</v>
      </c>
    </row>
    <row r="157" spans="1:4">
      <c r="A157">
        <v>3</v>
      </c>
      <c r="B157">
        <v>3</v>
      </c>
      <c r="C157">
        <v>12</v>
      </c>
      <c r="D157">
        <v>106065</v>
      </c>
    </row>
    <row r="158" spans="1:4">
      <c r="A158">
        <v>3</v>
      </c>
      <c r="B158">
        <v>4</v>
      </c>
      <c r="C158">
        <v>1</v>
      </c>
      <c r="D158">
        <v>106065</v>
      </c>
    </row>
    <row r="159" spans="1:4">
      <c r="A159">
        <v>3</v>
      </c>
      <c r="B159">
        <v>4</v>
      </c>
      <c r="C159">
        <v>2</v>
      </c>
      <c r="D159">
        <v>106065</v>
      </c>
    </row>
    <row r="160" spans="1:4">
      <c r="A160">
        <v>3</v>
      </c>
      <c r="B160">
        <v>4</v>
      </c>
      <c r="C160">
        <v>3</v>
      </c>
      <c r="D160">
        <v>176775</v>
      </c>
    </row>
    <row r="161" spans="1:4">
      <c r="A161">
        <v>3</v>
      </c>
      <c r="B161">
        <v>4</v>
      </c>
      <c r="C161">
        <v>4</v>
      </c>
      <c r="D161">
        <v>247485</v>
      </c>
    </row>
    <row r="162" spans="1:4">
      <c r="A162">
        <v>3</v>
      </c>
      <c r="B162">
        <v>4</v>
      </c>
      <c r="C162">
        <v>5</v>
      </c>
      <c r="D162">
        <v>265163</v>
      </c>
    </row>
    <row r="163" spans="1:4">
      <c r="A163">
        <v>3</v>
      </c>
      <c r="B163">
        <v>4</v>
      </c>
      <c r="C163">
        <v>6</v>
      </c>
      <c r="D163">
        <v>265163</v>
      </c>
    </row>
    <row r="164" spans="1:4">
      <c r="A164">
        <v>3</v>
      </c>
      <c r="B164">
        <v>4</v>
      </c>
      <c r="C164">
        <v>7</v>
      </c>
      <c r="D164">
        <v>247485</v>
      </c>
    </row>
    <row r="165" spans="1:4">
      <c r="A165">
        <v>3</v>
      </c>
      <c r="B165">
        <v>4</v>
      </c>
      <c r="C165">
        <v>8</v>
      </c>
      <c r="D165">
        <v>212130</v>
      </c>
    </row>
    <row r="166" spans="1:4">
      <c r="A166">
        <v>3</v>
      </c>
      <c r="B166">
        <v>4</v>
      </c>
      <c r="C166">
        <v>9</v>
      </c>
      <c r="D166">
        <v>176775</v>
      </c>
    </row>
    <row r="167" spans="1:4">
      <c r="A167">
        <v>3</v>
      </c>
      <c r="B167">
        <v>4</v>
      </c>
      <c r="C167">
        <v>10</v>
      </c>
      <c r="D167">
        <v>159098</v>
      </c>
    </row>
    <row r="168" spans="1:4">
      <c r="A168">
        <v>3</v>
      </c>
      <c r="B168">
        <v>4</v>
      </c>
      <c r="C168">
        <v>11</v>
      </c>
      <c r="D168">
        <v>123743</v>
      </c>
    </row>
    <row r="169" spans="1:4">
      <c r="A169">
        <v>3</v>
      </c>
      <c r="B169">
        <v>4</v>
      </c>
      <c r="C169">
        <v>12</v>
      </c>
      <c r="D169">
        <v>106065</v>
      </c>
    </row>
    <row r="170" spans="1:4">
      <c r="A170">
        <v>3</v>
      </c>
      <c r="B170">
        <v>5</v>
      </c>
      <c r="C170">
        <v>1</v>
      </c>
      <c r="D170">
        <v>106065</v>
      </c>
    </row>
    <row r="171" spans="1:4">
      <c r="A171">
        <v>3</v>
      </c>
      <c r="B171">
        <v>5</v>
      </c>
      <c r="C171">
        <v>2</v>
      </c>
      <c r="D171">
        <v>106065</v>
      </c>
    </row>
    <row r="172" spans="1:4">
      <c r="A172">
        <v>3</v>
      </c>
      <c r="B172">
        <v>5</v>
      </c>
      <c r="C172">
        <v>3</v>
      </c>
      <c r="D172">
        <v>176775</v>
      </c>
    </row>
    <row r="173" spans="1:4">
      <c r="A173">
        <v>3</v>
      </c>
      <c r="B173">
        <v>5</v>
      </c>
      <c r="C173">
        <v>4</v>
      </c>
      <c r="D173">
        <v>247485</v>
      </c>
    </row>
    <row r="174" spans="1:4">
      <c r="A174">
        <v>3</v>
      </c>
      <c r="B174">
        <v>5</v>
      </c>
      <c r="C174">
        <v>5</v>
      </c>
      <c r="D174">
        <v>265163</v>
      </c>
    </row>
    <row r="175" spans="1:4">
      <c r="A175">
        <v>3</v>
      </c>
      <c r="B175">
        <v>5</v>
      </c>
      <c r="C175">
        <v>6</v>
      </c>
      <c r="D175">
        <v>265163</v>
      </c>
    </row>
    <row r="176" spans="1:4">
      <c r="A176">
        <v>3</v>
      </c>
      <c r="B176">
        <v>5</v>
      </c>
      <c r="C176">
        <v>7</v>
      </c>
      <c r="D176">
        <v>247485</v>
      </c>
    </row>
    <row r="177" spans="1:4">
      <c r="A177">
        <v>3</v>
      </c>
      <c r="B177">
        <v>5</v>
      </c>
      <c r="C177">
        <v>8</v>
      </c>
      <c r="D177">
        <v>212130</v>
      </c>
    </row>
    <row r="178" spans="1:4">
      <c r="A178">
        <v>3</v>
      </c>
      <c r="B178">
        <v>5</v>
      </c>
      <c r="C178">
        <v>9</v>
      </c>
      <c r="D178">
        <v>176775</v>
      </c>
    </row>
    <row r="179" spans="1:4">
      <c r="A179">
        <v>3</v>
      </c>
      <c r="B179">
        <v>5</v>
      </c>
      <c r="C179">
        <v>10</v>
      </c>
      <c r="D179">
        <v>159098</v>
      </c>
    </row>
    <row r="180" spans="1:4">
      <c r="A180">
        <v>3</v>
      </c>
      <c r="B180">
        <v>5</v>
      </c>
      <c r="C180">
        <v>11</v>
      </c>
      <c r="D180">
        <v>123743</v>
      </c>
    </row>
    <row r="181" spans="1:4">
      <c r="A181">
        <v>3</v>
      </c>
      <c r="B181">
        <v>5</v>
      </c>
      <c r="C181">
        <v>12</v>
      </c>
      <c r="D181">
        <v>106065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9C66-A774-4613-A50D-4348E76371AD}">
  <sheetPr>
    <tabColor theme="9" tint="0.39997558519241921"/>
  </sheetPr>
  <dimension ref="A1:C16"/>
  <sheetViews>
    <sheetView workbookViewId="0">
      <selection activeCell="C2" sqref="C2"/>
    </sheetView>
  </sheetViews>
  <sheetFormatPr defaultRowHeight="15"/>
  <cols>
    <col min="1" max="1" width="14.42578125" bestFit="1" customWidth="1"/>
    <col min="2" max="2" width="18.85546875" customWidth="1"/>
    <col min="3" max="3" width="21.85546875" customWidth="1"/>
  </cols>
  <sheetData>
    <row r="1" spans="1:3">
      <c r="A1" t="s">
        <v>10</v>
      </c>
      <c r="B1" t="s">
        <v>33</v>
      </c>
      <c r="C1" t="s">
        <v>34</v>
      </c>
    </row>
    <row r="2" spans="1:3">
      <c r="A2">
        <v>1</v>
      </c>
      <c r="B2">
        <v>1</v>
      </c>
      <c r="C2">
        <v>1028700</v>
      </c>
    </row>
    <row r="3" spans="1:3">
      <c r="A3">
        <v>1</v>
      </c>
      <c r="B3">
        <v>2</v>
      </c>
      <c r="C3">
        <v>857250</v>
      </c>
    </row>
    <row r="4" spans="1:3">
      <c r="A4">
        <v>1</v>
      </c>
      <c r="B4">
        <v>3</v>
      </c>
      <c r="C4">
        <v>514350</v>
      </c>
    </row>
    <row r="5" spans="1:3">
      <c r="A5">
        <v>1</v>
      </c>
      <c r="B5">
        <v>4</v>
      </c>
      <c r="C5">
        <v>514350</v>
      </c>
    </row>
    <row r="6" spans="1:3">
      <c r="A6">
        <v>1</v>
      </c>
      <c r="B6">
        <v>5</v>
      </c>
      <c r="C6">
        <v>514350</v>
      </c>
    </row>
    <row r="7" spans="1:3">
      <c r="A7">
        <v>2</v>
      </c>
      <c r="B7">
        <v>1</v>
      </c>
      <c r="C7">
        <v>2410650</v>
      </c>
    </row>
    <row r="8" spans="1:3">
      <c r="A8">
        <v>2</v>
      </c>
      <c r="B8">
        <v>2</v>
      </c>
      <c r="C8">
        <v>2008875</v>
      </c>
    </row>
    <row r="9" spans="1:3">
      <c r="A9">
        <v>2</v>
      </c>
      <c r="B9">
        <v>3</v>
      </c>
      <c r="C9">
        <v>1205325</v>
      </c>
    </row>
    <row r="10" spans="1:3">
      <c r="A10">
        <v>2</v>
      </c>
      <c r="B10">
        <v>4</v>
      </c>
      <c r="C10">
        <v>1205325</v>
      </c>
    </row>
    <row r="11" spans="1:3">
      <c r="A11">
        <v>2</v>
      </c>
      <c r="B11">
        <v>5</v>
      </c>
      <c r="C11">
        <v>1205325</v>
      </c>
    </row>
    <row r="12" spans="1:3">
      <c r="A12">
        <v>3</v>
      </c>
      <c r="B12">
        <v>1</v>
      </c>
      <c r="C12">
        <v>1060650</v>
      </c>
    </row>
    <row r="13" spans="1:3">
      <c r="A13">
        <v>3</v>
      </c>
      <c r="B13">
        <v>2</v>
      </c>
      <c r="C13">
        <v>883875</v>
      </c>
    </row>
    <row r="14" spans="1:3">
      <c r="A14">
        <v>3</v>
      </c>
      <c r="B14">
        <v>3</v>
      </c>
      <c r="C14">
        <v>530325</v>
      </c>
    </row>
    <row r="15" spans="1:3">
      <c r="A15">
        <v>3</v>
      </c>
      <c r="B15">
        <v>4</v>
      </c>
      <c r="C15">
        <v>530325</v>
      </c>
    </row>
    <row r="16" spans="1:3">
      <c r="A16">
        <v>3</v>
      </c>
      <c r="B16">
        <v>5</v>
      </c>
      <c r="C16">
        <v>530325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57C1-F581-4B11-96B3-B5C1A278D039}">
  <dimension ref="A1:P13"/>
  <sheetViews>
    <sheetView workbookViewId="0">
      <selection activeCell="M15" sqref="M15"/>
    </sheetView>
  </sheetViews>
  <sheetFormatPr defaultRowHeight="15"/>
  <cols>
    <col min="3" max="3" width="10.7109375" customWidth="1"/>
  </cols>
  <sheetData>
    <row r="1" spans="1:16">
      <c r="A1" t="s">
        <v>35</v>
      </c>
      <c r="D1" t="s">
        <v>36</v>
      </c>
      <c r="G1" t="s">
        <v>37</v>
      </c>
      <c r="K1" t="s">
        <v>38</v>
      </c>
      <c r="O1" t="s">
        <v>39</v>
      </c>
    </row>
    <row r="2" spans="1:16">
      <c r="A2">
        <v>1</v>
      </c>
      <c r="B2" t="s">
        <v>40</v>
      </c>
      <c r="D2">
        <v>1</v>
      </c>
      <c r="E2" t="s">
        <v>41</v>
      </c>
      <c r="G2">
        <v>1</v>
      </c>
      <c r="H2" t="s">
        <v>42</v>
      </c>
      <c r="K2">
        <v>1</v>
      </c>
      <c r="L2" t="s">
        <v>43</v>
      </c>
      <c r="O2">
        <v>1</v>
      </c>
      <c r="P2" t="s">
        <v>44</v>
      </c>
    </row>
    <row r="3" spans="1:16">
      <c r="A3">
        <v>2</v>
      </c>
      <c r="B3" t="s">
        <v>45</v>
      </c>
      <c r="D3">
        <v>2</v>
      </c>
      <c r="E3" t="s">
        <v>46</v>
      </c>
      <c r="G3">
        <v>2</v>
      </c>
      <c r="H3" t="s">
        <v>47</v>
      </c>
      <c r="K3">
        <v>2</v>
      </c>
      <c r="L3" t="s">
        <v>48</v>
      </c>
      <c r="O3">
        <v>2</v>
      </c>
      <c r="P3" t="s">
        <v>49</v>
      </c>
    </row>
    <row r="4" spans="1:16">
      <c r="A4">
        <v>3</v>
      </c>
      <c r="B4" t="s">
        <v>50</v>
      </c>
      <c r="D4">
        <v>3</v>
      </c>
      <c r="E4" t="s">
        <v>51</v>
      </c>
      <c r="G4">
        <v>3</v>
      </c>
      <c r="H4" t="s">
        <v>52</v>
      </c>
      <c r="K4">
        <v>3</v>
      </c>
      <c r="L4" t="s">
        <v>53</v>
      </c>
      <c r="O4">
        <v>3</v>
      </c>
      <c r="P4" t="s">
        <v>54</v>
      </c>
    </row>
    <row r="5" spans="1:16">
      <c r="D5">
        <v>4</v>
      </c>
      <c r="E5" t="s">
        <v>55</v>
      </c>
      <c r="K5">
        <v>4</v>
      </c>
      <c r="L5" t="s">
        <v>56</v>
      </c>
      <c r="O5">
        <v>4</v>
      </c>
      <c r="P5" t="s">
        <v>57</v>
      </c>
    </row>
    <row r="6" spans="1:16">
      <c r="D6">
        <v>5</v>
      </c>
      <c r="E6" t="s">
        <v>58</v>
      </c>
      <c r="K6">
        <v>5</v>
      </c>
      <c r="L6" t="s">
        <v>59</v>
      </c>
      <c r="O6">
        <v>5</v>
      </c>
      <c r="P6" t="s">
        <v>60</v>
      </c>
    </row>
    <row r="7" spans="1:16">
      <c r="D7">
        <v>6</v>
      </c>
      <c r="E7" t="s">
        <v>61</v>
      </c>
      <c r="O7">
        <v>6</v>
      </c>
      <c r="P7" t="s">
        <v>62</v>
      </c>
    </row>
    <row r="8" spans="1:16">
      <c r="D8">
        <v>7</v>
      </c>
      <c r="E8" t="s">
        <v>63</v>
      </c>
      <c r="O8">
        <v>7</v>
      </c>
      <c r="P8" t="s">
        <v>64</v>
      </c>
    </row>
    <row r="9" spans="1:16">
      <c r="D9">
        <v>8</v>
      </c>
      <c r="E9" t="s">
        <v>65</v>
      </c>
      <c r="O9">
        <v>8</v>
      </c>
      <c r="P9" t="s">
        <v>66</v>
      </c>
    </row>
    <row r="10" spans="1:16">
      <c r="D10">
        <v>9</v>
      </c>
      <c r="E10" t="s">
        <v>67</v>
      </c>
    </row>
    <row r="11" spans="1:16">
      <c r="D11">
        <v>10</v>
      </c>
      <c r="E11" t="s">
        <v>68</v>
      </c>
    </row>
    <row r="12" spans="1:16">
      <c r="D12">
        <v>11</v>
      </c>
      <c r="E12" t="s">
        <v>69</v>
      </c>
    </row>
    <row r="13" spans="1:16">
      <c r="D13">
        <v>12</v>
      </c>
      <c r="E1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E5975973AD1643AAF4818F1B5DD377" ma:contentTypeVersion="9" ma:contentTypeDescription="Create a new document." ma:contentTypeScope="" ma:versionID="fbd65d1691c855cc2c223e6a4e8b1ffc">
  <xsd:schema xmlns:xsd="http://www.w3.org/2001/XMLSchema" xmlns:xs="http://www.w3.org/2001/XMLSchema" xmlns:p="http://schemas.microsoft.com/office/2006/metadata/properties" xmlns:ns2="b8a69640-6e5a-4aba-840a-cb87d0af4502" xmlns:ns3="7f92f27b-d4f6-4141-8890-421f1d58a139" targetNamespace="http://schemas.microsoft.com/office/2006/metadata/properties" ma:root="true" ma:fieldsID="0e36bcc51fc55167e538cfde9c1140f8" ns2:_="" ns3:_="">
    <xsd:import namespace="b8a69640-6e5a-4aba-840a-cb87d0af4502"/>
    <xsd:import namespace="7f92f27b-d4f6-4141-8890-421f1d58a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69640-6e5a-4aba-840a-cb87d0af4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2f27b-d4f6-4141-8890-421f1d58a1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ed9e1-24cd-4eff-99a5-cbdfa72bf64a}" ma:internalName="TaxCatchAll" ma:showField="CatchAllData" ma:web="7f92f27b-d4f6-4141-8890-421f1d58a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92f27b-d4f6-4141-8890-421f1d58a139" xsi:nil="true"/>
    <lcf76f155ced4ddcb4097134ff3c332f xmlns="b8a69640-6e5a-4aba-840a-cb87d0af45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7506E1-DD38-493F-AE4E-288BDF3C090B}"/>
</file>

<file path=customXml/itemProps2.xml><?xml version="1.0" encoding="utf-8"?>
<ds:datastoreItem xmlns:ds="http://schemas.openxmlformats.org/officeDocument/2006/customXml" ds:itemID="{B05D816E-E37B-4D38-95F4-9EE97D04D711}"/>
</file>

<file path=customXml/itemProps3.xml><?xml version="1.0" encoding="utf-8"?>
<ds:datastoreItem xmlns:ds="http://schemas.openxmlformats.org/officeDocument/2006/customXml" ds:itemID="{5FFF7E72-D0C0-498B-9D99-E016CDC45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Constanza Andrea Saba Quevedo</cp:lastModifiedBy>
  <cp:revision/>
  <dcterms:created xsi:type="dcterms:W3CDTF">2026-05-06T00:43:22Z</dcterms:created>
  <dcterms:modified xsi:type="dcterms:W3CDTF">2026-06-18T03:19:42Z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0x01010042E5975973AD1643AAF4818F1B5DD377</vt:lpwstr>
  </property>
  <property fmtid="{D5CDD505-2E9C-101B-9397-08002B2CF9AE}" pid="3" name="MediaServiceImageTags">
    <vt:lpwstr/>
  </property>
</Properties>
</file>